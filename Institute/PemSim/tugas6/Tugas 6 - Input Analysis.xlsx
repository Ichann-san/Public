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ula\Documents\Code\Public\Institute\PemSim\tugas6\"/>
    </mc:Choice>
  </mc:AlternateContent>
  <xr:revisionPtr revIDLastSave="0" documentId="13_ncr:1_{8690A65D-3A44-428C-8C0B-A6DA002BDDA4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1 Accident Data" sheetId="1" r:id="rId1"/>
    <sheet name="1 KS Test" sheetId="2" r:id="rId2"/>
    <sheet name="2 Time Data" sheetId="3" r:id="rId3"/>
    <sheet name="2 Chi Square" sheetId="4" r:id="rId4"/>
  </sheets>
  <definedNames>
    <definedName name="_xlnm.Print_Area" localSheetId="0">'1 Accident Data'!$A$1:$N$38</definedName>
    <definedName name="_xlnm.Print_Area" localSheetId="1">'1 KS Test'!$A$1:$L$39</definedName>
    <definedName name="_xlnm.Print_Area" localSheetId="3">'2 Chi Square'!$A$1:$L$26</definedName>
    <definedName name="_xlnm.Print_Area" localSheetId="2">'2 Time Data'!$A$1:$Q$35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1" i="4" l="1"/>
  <c r="J13" i="4" s="1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C36" i="2"/>
  <c r="D36" i="2" s="1"/>
  <c r="C35" i="2"/>
  <c r="D35" i="2" s="1"/>
  <c r="C34" i="2"/>
  <c r="D34" i="2" s="1"/>
  <c r="C33" i="2"/>
  <c r="D33" i="2" s="1"/>
  <c r="C32" i="2"/>
  <c r="D32" i="2" s="1"/>
  <c r="C31" i="2"/>
  <c r="D31" i="2" s="1"/>
  <c r="C30" i="2"/>
  <c r="D30" i="2" s="1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C21" i="2"/>
  <c r="D21" i="2" s="1"/>
  <c r="C20" i="2"/>
  <c r="D20" i="2" s="1"/>
  <c r="C19" i="2"/>
  <c r="D19" i="2" s="1"/>
  <c r="C18" i="2"/>
  <c r="D18" i="2" s="1"/>
  <c r="C17" i="2"/>
  <c r="D17" i="2" s="1"/>
  <c r="C16" i="2"/>
  <c r="D16" i="2" s="1"/>
  <c r="C15" i="2"/>
  <c r="D15" i="2" s="1"/>
  <c r="C14" i="2"/>
  <c r="D14" i="2" s="1"/>
  <c r="C13" i="2"/>
  <c r="D13" i="2" s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F21" i="1"/>
  <c r="F20" i="1"/>
  <c r="F18" i="1"/>
  <c r="F17" i="1"/>
  <c r="I15" i="1"/>
  <c r="F15" i="1"/>
  <c r="I14" i="1"/>
  <c r="F14" i="1"/>
  <c r="I13" i="1"/>
  <c r="J13" i="1" s="1"/>
  <c r="I12" i="1"/>
  <c r="J12" i="1" s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F13" i="1" l="1"/>
  <c r="I29" i="3"/>
  <c r="F19" i="1"/>
  <c r="I25" i="3"/>
  <c r="J9" i="1"/>
  <c r="I28" i="3"/>
  <c r="J15" i="1"/>
  <c r="I16" i="1"/>
  <c r="F16" i="1"/>
  <c r="I10" i="3"/>
  <c r="I20" i="3"/>
  <c r="J8" i="1"/>
  <c r="I27" i="3"/>
  <c r="I21" i="3"/>
  <c r="I6" i="3"/>
  <c r="J8" i="4" s="1"/>
  <c r="I14" i="3"/>
  <c r="I7" i="3"/>
  <c r="I8" i="3"/>
  <c r="J9" i="4" s="1"/>
  <c r="I15" i="3"/>
  <c r="I17" i="3"/>
  <c r="I26" i="3"/>
  <c r="I9" i="3"/>
  <c r="I11" i="3"/>
  <c r="J7" i="2"/>
  <c r="I24" i="3"/>
  <c r="J6" i="1"/>
  <c r="J10" i="1"/>
  <c r="J14" i="1"/>
  <c r="I18" i="3"/>
  <c r="J7" i="1"/>
  <c r="J11" i="1"/>
  <c r="I12" i="3"/>
  <c r="I13" i="3" s="1"/>
  <c r="J10" i="4" l="1"/>
  <c r="D8" i="4"/>
  <c r="C9" i="4" s="1"/>
  <c r="D7" i="4"/>
  <c r="D9" i="4"/>
  <c r="C10" i="4" s="1"/>
  <c r="D11" i="4"/>
  <c r="C12" i="4" s="1"/>
  <c r="E12" i="4" s="1"/>
  <c r="D10" i="4"/>
  <c r="C11" i="4" s="1"/>
  <c r="E11" i="4" s="1"/>
  <c r="G11" i="4" s="1"/>
  <c r="F10" i="4"/>
  <c r="F7" i="4"/>
  <c r="F12" i="4"/>
  <c r="F9" i="4"/>
  <c r="F11" i="4"/>
  <c r="F8" i="4"/>
  <c r="I19" i="3"/>
  <c r="K15" i="1"/>
  <c r="K11" i="1"/>
  <c r="K7" i="1"/>
  <c r="K14" i="1"/>
  <c r="K12" i="1"/>
  <c r="K10" i="1"/>
  <c r="K8" i="1"/>
  <c r="K13" i="1"/>
  <c r="K9" i="1"/>
  <c r="J16" i="1"/>
  <c r="K6" i="1"/>
  <c r="F35" i="2"/>
  <c r="E10" i="2"/>
  <c r="G10" i="2" s="1"/>
  <c r="E36" i="2"/>
  <c r="G36" i="2" s="1"/>
  <c r="F23" i="2"/>
  <c r="E20" i="2"/>
  <c r="G20" i="2" s="1"/>
  <c r="F26" i="2"/>
  <c r="E23" i="2"/>
  <c r="G23" i="2" s="1"/>
  <c r="F32" i="2"/>
  <c r="E13" i="2"/>
  <c r="F10" i="2"/>
  <c r="E32" i="2"/>
  <c r="F22" i="2"/>
  <c r="E7" i="2"/>
  <c r="F29" i="2"/>
  <c r="E26" i="2"/>
  <c r="F13" i="2"/>
  <c r="E29" i="2"/>
  <c r="G29" i="2" s="1"/>
  <c r="F19" i="2"/>
  <c r="E16" i="2"/>
  <c r="G16" i="2" s="1"/>
  <c r="F7" i="2"/>
  <c r="E35" i="2"/>
  <c r="G35" i="2" s="1"/>
  <c r="E19" i="2"/>
  <c r="G19" i="2" s="1"/>
  <c r="F25" i="2"/>
  <c r="E22" i="2"/>
  <c r="G22" i="2" s="1"/>
  <c r="F28" i="2"/>
  <c r="E25" i="2"/>
  <c r="F31" i="2"/>
  <c r="E28" i="2"/>
  <c r="G28" i="2" s="1"/>
  <c r="F15" i="2"/>
  <c r="F12" i="2"/>
  <c r="F34" i="2"/>
  <c r="E31" i="2"/>
  <c r="G31" i="2" s="1"/>
  <c r="F18" i="2"/>
  <c r="E15" i="2"/>
  <c r="G15" i="2" s="1"/>
  <c r="E12" i="2"/>
  <c r="G12" i="2" s="1"/>
  <c r="F9" i="2"/>
  <c r="E34" i="2"/>
  <c r="G34" i="2" s="1"/>
  <c r="F21" i="2"/>
  <c r="E18" i="2"/>
  <c r="G18" i="2" s="1"/>
  <c r="E9" i="2"/>
  <c r="G9" i="2" s="1"/>
  <c r="F24" i="2"/>
  <c r="E24" i="2"/>
  <c r="G24" i="2" s="1"/>
  <c r="E21" i="2"/>
  <c r="F30" i="2"/>
  <c r="E27" i="2"/>
  <c r="G27" i="2" s="1"/>
  <c r="F14" i="2"/>
  <c r="F20" i="2"/>
  <c r="E17" i="2"/>
  <c r="E11" i="2"/>
  <c r="E8" i="2"/>
  <c r="G8" i="2" s="1"/>
  <c r="F16" i="2"/>
  <c r="F33" i="2"/>
  <c r="E30" i="2"/>
  <c r="G30" i="2" s="1"/>
  <c r="F17" i="2"/>
  <c r="E14" i="2"/>
  <c r="G14" i="2" s="1"/>
  <c r="F11" i="2"/>
  <c r="F8" i="2"/>
  <c r="F36" i="2"/>
  <c r="E33" i="2"/>
  <c r="F27" i="2"/>
  <c r="I16" i="3"/>
  <c r="G12" i="4" l="1"/>
  <c r="G11" i="2"/>
  <c r="F13" i="4"/>
  <c r="G26" i="2"/>
  <c r="G17" i="2"/>
  <c r="E10" i="4"/>
  <c r="G10" i="4" s="1"/>
  <c r="G33" i="2"/>
  <c r="C8" i="4"/>
  <c r="E8" i="4" s="1"/>
  <c r="G8" i="4" s="1"/>
  <c r="E7" i="4"/>
  <c r="G25" i="2"/>
  <c r="E9" i="4"/>
  <c r="G9" i="4" s="1"/>
  <c r="G7" i="2"/>
  <c r="G21" i="2"/>
  <c r="G32" i="2"/>
  <c r="G13" i="2"/>
  <c r="G7" i="4" l="1"/>
  <c r="G13" i="4" s="1"/>
  <c r="J12" i="4" s="1"/>
  <c r="E13" i="4"/>
  <c r="J9" i="2"/>
  <c r="J11" i="2" l="1"/>
  <c r="J12" i="2"/>
  <c r="J15" i="4"/>
  <c r="J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Method</author>
  </authors>
  <commentList>
    <comment ref="J10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Exact two-sided one-sample KS 95th-percentile critical value for n=30: scipy.stats.kstwo.ppf(0.95, 30) = 0.24170347059707345. The Uniform(0,100) parameters are specified by the assignment, not estimated from data.</t>
        </r>
      </text>
    </comment>
  </commentList>
</comments>
</file>

<file path=xl/sharedStrings.xml><?xml version="1.0" encoding="utf-8"?>
<sst xmlns="http://schemas.openxmlformats.org/spreadsheetml/2006/main" count="114" uniqueCount="100">
  <si>
    <t>1  Accident locations</t>
  </si>
  <si>
    <t>30 injury or fatal accidents on a 100 km road | September</t>
  </si>
  <si>
    <t>No.</t>
  </si>
  <si>
    <t>Location (km)</t>
  </si>
  <si>
    <t>Statistical summary</t>
  </si>
  <si>
    <t>Value</t>
  </si>
  <si>
    <t>Interval (km)</t>
  </si>
  <si>
    <t>Frequency</t>
  </si>
  <si>
    <t>Relative</t>
  </si>
  <si>
    <t>Cumulative</t>
  </si>
  <si>
    <t>Count</t>
  </si>
  <si>
    <t>0-10</t>
  </si>
  <si>
    <t>Sum (km)</t>
  </si>
  <si>
    <t>10-20</t>
  </si>
  <si>
    <t>Mean (km)</t>
  </si>
  <si>
    <t>20-30</t>
  </si>
  <si>
    <t>Median (km)</t>
  </si>
  <si>
    <t>30-40</t>
  </si>
  <si>
    <t>Mode (km)</t>
  </si>
  <si>
    <t>40-50</t>
  </si>
  <si>
    <t>Minimum (km)</t>
  </si>
  <si>
    <t>50-60</t>
  </si>
  <si>
    <t>Maximum (km)</t>
  </si>
  <si>
    <t>60-70</t>
  </si>
  <si>
    <t>Range (km)</t>
  </si>
  <si>
    <t>70-80</t>
  </si>
  <si>
    <t>Q1 (km)</t>
  </si>
  <si>
    <t>80-90</t>
  </si>
  <si>
    <t>Q3 (km)</t>
  </si>
  <si>
    <t>90-100</t>
  </si>
  <si>
    <t>IQR (km)</t>
  </si>
  <si>
    <t>Total</t>
  </si>
  <si>
    <t>Sample variance</t>
  </si>
  <si>
    <t>Sample SD (km)</t>
  </si>
  <si>
    <t>CV</t>
  </si>
  <si>
    <t>Skewness</t>
  </si>
  <si>
    <t>Excess kurtosis</t>
  </si>
  <si>
    <t>Source: Pem-Sim Kelas E.pdf, p. 1 (embedded data image). Sample statistics use n - 1; quartiles use Excel QUARTILE inclusive method.</t>
  </si>
  <si>
    <t>1  Kolmogorov-Smirnov test</t>
  </si>
  <si>
    <t>H0: accident location follows Uniform(0, 100 km) | two-sided test, alpha = 0.05</t>
  </si>
  <si>
    <t>Rank i</t>
  </si>
  <si>
    <t>Sorted x (km)</t>
  </si>
  <si>
    <t>F0(x) = x/100</t>
  </si>
  <si>
    <t>(i-1)/n</t>
  </si>
  <si>
    <t>i/n</t>
  </si>
  <si>
    <t>Local D</t>
  </si>
  <si>
    <t>Test result</t>
  </si>
  <si>
    <t>n</t>
  </si>
  <si>
    <t>Alpha</t>
  </si>
  <si>
    <t>D statistic</t>
  </si>
  <si>
    <t>Exact D critical</t>
  </si>
  <si>
    <t>Decision</t>
  </si>
  <si>
    <t>Conclusion</t>
  </si>
  <si>
    <t>D is the maximum vertical difference between empirical and Uniform(0,100) CDFs. Reject H0 only when D exceeds the exact 5% critical value.</t>
  </si>
  <si>
    <t>Data: Pem-Sim Kelas E.pdf, p. 1. Method: Law, Simulation Modeling and Analysis, 5th ed., ch. 6. Exact critical value: SciPy kstwo, n = 30.</t>
  </si>
  <si>
    <t>2  Employee recording times</t>
  </si>
  <si>
    <t>50 employee observations | time in minutes</t>
  </si>
  <si>
    <t>Employee</t>
  </si>
  <si>
    <t>Time (min)</t>
  </si>
  <si>
    <t>Sum (min)</t>
  </si>
  <si>
    <t>Mean (min)</t>
  </si>
  <si>
    <t>Median (min)</t>
  </si>
  <si>
    <t>One mode (min)</t>
  </si>
  <si>
    <t>Minimum (min)</t>
  </si>
  <si>
    <t>Maximum (min)</t>
  </si>
  <si>
    <t>Range (min)</t>
  </si>
  <si>
    <t>Q1 (min)</t>
  </si>
  <si>
    <t>Q3 (min)</t>
  </si>
  <si>
    <t>IQR (min)</t>
  </si>
  <si>
    <t>Sample SD (min)</t>
  </si>
  <si>
    <t>Interval (min)</t>
  </si>
  <si>
    <t>0-1</t>
  </si>
  <si>
    <t>1-2</t>
  </si>
  <si>
    <t>2-3</t>
  </si>
  <si>
    <t>3-4</t>
  </si>
  <si>
    <t>4-5</t>
  </si>
  <si>
    <t>5 and above</t>
  </si>
  <si>
    <t>Source: Pem-Sim Kelas E.pdf, pp. 1-2 (embedded data image). Sample statistics use n - 1; quartiles use Excel QUARTILE inclusive method.</t>
  </si>
  <si>
    <t>Several values tie for mode: 0.26, 0.36, 0.53, 0.80, and 2.03 min. The MODE cell displays one tied value.</t>
  </si>
  <si>
    <t>2  Chi-square goodness-of-fit</t>
  </si>
  <si>
    <t>H0: recording time follows an exponential distribution | k = 6 | alpha = 0.05</t>
  </si>
  <si>
    <t>Class</t>
  </si>
  <si>
    <t>Lower (min)</t>
  </si>
  <si>
    <t>Upper (min)</t>
  </si>
  <si>
    <t>Observed O</t>
  </si>
  <si>
    <t>Expected E</t>
  </si>
  <si>
    <t>(O-E)^2/E</t>
  </si>
  <si>
    <t>Test parameter</t>
  </si>
  <si>
    <t>Classes k</t>
  </si>
  <si>
    <t>Sample size n</t>
  </si>
  <si>
    <t>Estimated mean</t>
  </si>
  <si>
    <t>Rate lambda = 1/mean</t>
  </si>
  <si>
    <t>Degrees of freedom</t>
  </si>
  <si>
    <t>infinity</t>
  </si>
  <si>
    <t>Chi-square statistic</t>
  </si>
  <si>
    <t>Critical value (5%)</t>
  </si>
  <si>
    <t>p-value</t>
  </si>
  <si>
    <t>Class boundaries are fitted exponential quantiles: x_i = -mean * LN(1 - i/6), i = 1,...,5. Each class has expected frequency 50/6 = 8.33, satisfying the usual chi-square minimum of 5.</t>
  </si>
  <si>
    <t>One parameter (the mean) is estimated from the same sample, so df = 6 - 1 - 1 = 4. A non-rejection means the exponential model is plausible for these data; it does not prove the model is true.</t>
  </si>
  <si>
    <t>Data: Pem-Sim Kelas E.pdf, p. 2. Method: Law, Simulation Modeling and Analysis, 5th ed., ch. 6; F(x) = 1 - EXP(-x/mean).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</si>
</sst>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%"/>
    <numFmt numFmtId="167" formatCode="0.0000"/>
    <numFmt numFmtId="168" formatCode="0.000000"/>
  </numFmts>
  <fonts count="8" x14ac:knownFonts="1">
    <font>
      <sz val="11"/>
      <color theme="1"/>
      <name val="Calibri"/>
      <family val="2"/>
      <scheme val="minor"/>
    </font>
    <font>
      <b/>
      <sz val="16"/>
      <color rgb="FF203047"/>
      <name val="Arial"/>
    </font>
    <font>
      <sz val="9"/>
      <color rgb="FF315D79"/>
      <name val="Arial"/>
    </font>
    <font>
      <sz val="9"/>
      <color rgb="FF243442"/>
      <name val="Arial"/>
    </font>
    <font>
      <b/>
      <sz val="9"/>
      <color rgb="FFFFFFFF"/>
      <name val="Arial"/>
    </font>
    <font>
      <sz val="9"/>
      <color rgb="FF1B63A0"/>
      <name val="Arial"/>
    </font>
    <font>
      <sz val="8"/>
      <color rgb="FF315D79"/>
      <name val="Arial"/>
    </font>
    <font>
      <b/>
      <sz val="9"/>
      <color rgb="FF203047"/>
      <name val="Arial"/>
    </font>
  </fonts>
  <fills count="5">
    <fill>
      <patternFill patternType="none"/>
    </fill>
    <fill>
      <patternFill patternType="gray125"/>
    </fill>
    <fill>
      <patternFill patternType="solid">
        <fgColor rgb="FF203047"/>
      </patternFill>
    </fill>
    <fill>
      <patternFill patternType="solid">
        <fgColor rgb="FFF6F9FB"/>
      </patternFill>
    </fill>
    <fill>
      <patternFill patternType="solid">
        <fgColor rgb="FFEAF1F5"/>
      </patternFill>
    </fill>
  </fills>
  <borders count="3">
    <border>
      <left/>
      <right/>
      <top/>
      <bottom/>
      <diagonal/>
    </border>
    <border>
      <left/>
      <right/>
      <top/>
      <bottom style="thin">
        <color rgb="FF203047"/>
      </bottom>
      <diagonal/>
    </border>
    <border>
      <left/>
      <right/>
      <top/>
      <bottom style="hair">
        <color rgb="FFD5E0E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164" fontId="5" fillId="3" borderId="2" xfId="0" applyNumberFormat="1" applyFont="1" applyFill="1" applyBorder="1" applyAlignment="1">
      <alignment vertical="center" wrapText="1"/>
    </xf>
    <xf numFmtId="1" fontId="3" fillId="3" borderId="2" xfId="0" applyNumberFormat="1" applyFont="1" applyFill="1" applyBorder="1" applyAlignment="1">
      <alignment vertical="center" wrapText="1"/>
    </xf>
    <xf numFmtId="166" fontId="3" fillId="3" borderId="2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64" fontId="5" fillId="0" borderId="2" xfId="0" applyNumberFormat="1" applyFont="1" applyBorder="1" applyAlignment="1">
      <alignment vertical="center" wrapText="1"/>
    </xf>
    <xf numFmtId="164" fontId="3" fillId="0" borderId="2" xfId="0" applyNumberFormat="1" applyFont="1" applyBorder="1" applyAlignment="1">
      <alignment vertical="center" wrapText="1"/>
    </xf>
    <xf numFmtId="166" fontId="3" fillId="0" borderId="2" xfId="0" applyNumberFormat="1" applyFont="1" applyBorder="1" applyAlignment="1">
      <alignment vertical="center" wrapText="1"/>
    </xf>
    <xf numFmtId="165" fontId="3" fillId="3" borderId="2" xfId="0" applyNumberFormat="1" applyFont="1" applyFill="1" applyBorder="1" applyAlignment="1">
      <alignment vertical="center" wrapText="1"/>
    </xf>
    <xf numFmtId="165" fontId="3" fillId="0" borderId="2" xfId="0" applyNumberFormat="1" applyFont="1" applyBorder="1" applyAlignment="1">
      <alignment vertical="center" wrapText="1"/>
    </xf>
    <xf numFmtId="164" fontId="3" fillId="3" borderId="2" xfId="0" applyNumberFormat="1" applyFont="1" applyFill="1" applyBorder="1" applyAlignment="1">
      <alignment vertical="center" wrapText="1"/>
    </xf>
    <xf numFmtId="166" fontId="3" fillId="0" borderId="0" xfId="0" applyNumberFormat="1" applyFont="1" applyAlignment="1">
      <alignment vertical="center"/>
    </xf>
    <xf numFmtId="167" fontId="3" fillId="0" borderId="2" xfId="0" applyNumberFormat="1" applyFont="1" applyBorder="1" applyAlignment="1">
      <alignment vertical="center" wrapText="1"/>
    </xf>
    <xf numFmtId="1" fontId="3" fillId="0" borderId="2" xfId="0" applyNumberFormat="1" applyFont="1" applyBorder="1" applyAlignment="1">
      <alignment vertical="center" wrapText="1"/>
    </xf>
    <xf numFmtId="167" fontId="3" fillId="3" borderId="2" xfId="0" applyNumberFormat="1" applyFont="1" applyFill="1" applyBorder="1" applyAlignment="1">
      <alignment vertical="center" wrapText="1"/>
    </xf>
    <xf numFmtId="2" fontId="3" fillId="3" borderId="2" xfId="0" applyNumberFormat="1" applyFont="1" applyFill="1" applyBorder="1" applyAlignment="1">
      <alignment vertical="center" wrapText="1"/>
    </xf>
    <xf numFmtId="168" fontId="3" fillId="0" borderId="2" xfId="0" applyNumberFormat="1" applyFont="1" applyBorder="1" applyAlignment="1">
      <alignment vertical="center" wrapText="1"/>
    </xf>
    <xf numFmtId="168" fontId="3" fillId="3" borderId="2" xfId="0" applyNumberFormat="1" applyFont="1" applyFill="1" applyBorder="1" applyAlignment="1">
      <alignment vertical="center" wrapText="1"/>
    </xf>
    <xf numFmtId="2" fontId="5" fillId="3" borderId="2" xfId="0" applyNumberFormat="1" applyFont="1" applyFill="1" applyBorder="1" applyAlignment="1">
      <alignment vertical="center" wrapText="1"/>
    </xf>
    <xf numFmtId="2" fontId="5" fillId="0" borderId="2" xfId="0" applyNumberFormat="1" applyFont="1" applyBorder="1" applyAlignment="1">
      <alignment vertical="center" wrapText="1"/>
    </xf>
    <xf numFmtId="2" fontId="3" fillId="0" borderId="2" xfId="0" applyNumberFormat="1" applyFont="1" applyBorder="1" applyAlignment="1">
      <alignment vertical="center" wrapText="1"/>
    </xf>
    <xf numFmtId="0" fontId="3" fillId="3" borderId="2" xfId="0" applyFont="1" applyFill="1" applyBorder="1" applyAlignment="1">
      <alignment horizontal="left"/>
    </xf>
    <xf numFmtId="0" fontId="7" fillId="4" borderId="0" xfId="0" applyFont="1" applyFill="1" applyAlignment="1">
      <alignment vertical="center"/>
    </xf>
    <xf numFmtId="164" fontId="7" fillId="4" borderId="0" xfId="0" applyNumberFormat="1" applyFont="1" applyFill="1" applyAlignment="1">
      <alignment vertical="center"/>
    </xf>
    <xf numFmtId="167" fontId="7" fillId="4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2" fillId="0" borderId="0" xfId="0" applyFont="1"/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D"/>
              <a:t>Accident locations (10 km bins)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'1 Accident Data'!$I$5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 Accident Data'!$H$6:$H$15</c:f>
              <c:strCache>
                <c:ptCount val="10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  <c:pt idx="5">
                  <c:v>50-60</c:v>
                </c:pt>
                <c:pt idx="6">
                  <c:v>60-70</c:v>
                </c:pt>
                <c:pt idx="7">
                  <c:v>70-80</c:v>
                </c:pt>
                <c:pt idx="8">
                  <c:v>80-90</c:v>
                </c:pt>
                <c:pt idx="9">
                  <c:v>90-100</c:v>
                </c:pt>
              </c:strCache>
            </c:strRef>
          </c:cat>
          <c:val>
            <c:numRef>
              <c:f>'1 Accident Data'!$I$6:$I$15</c:f>
              <c:numCache>
                <c:formatCode>General</c:formatCode>
                <c:ptCount val="10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1-4F03-B57F-7840331823C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Interval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Frekuensi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Recording times (1 min bins)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 Time Data'!$I$23</c:f>
              <c:strCache>
                <c:ptCount val="1"/>
                <c:pt idx="0">
                  <c:v>Frequency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 Time Data'!$H$24:$H$29</c:f>
              <c:strCache>
                <c:ptCount val="6"/>
                <c:pt idx="0">
                  <c:v>0-1</c:v>
                </c:pt>
                <c:pt idx="1">
                  <c:v>1-2</c:v>
                </c:pt>
                <c:pt idx="2">
                  <c:v>2-3</c:v>
                </c:pt>
                <c:pt idx="3">
                  <c:v>3-4</c:v>
                </c:pt>
                <c:pt idx="4">
                  <c:v>4-5</c:v>
                </c:pt>
                <c:pt idx="5">
                  <c:v>5 and above</c:v>
                </c:pt>
              </c:strCache>
            </c:strRef>
          </c:cat>
          <c:val>
            <c:numRef>
              <c:f>'2 Time Data'!$I$24:$I$29</c:f>
              <c:numCache>
                <c:formatCode>General</c:formatCode>
                <c:ptCount val="6"/>
                <c:pt idx="0">
                  <c:v>29</c:v>
                </c:pt>
                <c:pt idx="1">
                  <c:v>11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7-4005-94DE-CAD7428EB1D5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Interval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Frekuensi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18</xdr:row>
      <xdr:rowOff>0</xdr:rowOff>
    </xdr:from>
    <xdr:ext cx="4896000" cy="3024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0</xdr:rowOff>
    </xdr:from>
    <xdr:ext cx="4392000" cy="37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8"/>
  <sheetViews>
    <sheetView showGridLines="0"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.81640625" customWidth="1"/>
    <col min="2" max="2" width="8" customWidth="1"/>
    <col min="3" max="3" width="13" customWidth="1"/>
    <col min="4" max="4" width="3" customWidth="1"/>
    <col min="5" max="5" width="19" customWidth="1"/>
    <col min="6" max="6" width="13" customWidth="1"/>
    <col min="7" max="7" width="3" customWidth="1"/>
    <col min="8" max="8" width="16" customWidth="1"/>
    <col min="9" max="9" width="12" customWidth="1"/>
    <col min="10" max="13" width="10" customWidth="1"/>
    <col min="14" max="14" width="8" customWidth="1"/>
  </cols>
  <sheetData>
    <row r="1" spans="1:14" ht="29" customHeight="1" x14ac:dyDescent="0.35">
      <c r="B1" s="28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19" customHeight="1" x14ac:dyDescent="0.35">
      <c r="B2" s="30" t="s">
        <v>1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9" customHeight="1" x14ac:dyDescent="0.35">
      <c r="A5" s="1"/>
      <c r="B5" s="2" t="s">
        <v>2</v>
      </c>
      <c r="C5" s="2" t="s">
        <v>3</v>
      </c>
      <c r="D5" s="1"/>
      <c r="E5" s="2" t="s">
        <v>4</v>
      </c>
      <c r="F5" s="2" t="s">
        <v>5</v>
      </c>
      <c r="G5" s="1"/>
      <c r="H5" s="2" t="s">
        <v>6</v>
      </c>
      <c r="I5" s="2" t="s">
        <v>7</v>
      </c>
      <c r="J5" s="2" t="s">
        <v>8</v>
      </c>
      <c r="K5" s="2" t="s">
        <v>9</v>
      </c>
      <c r="L5" s="1"/>
      <c r="M5" s="1"/>
      <c r="N5" s="1"/>
    </row>
    <row r="6" spans="1:14" ht="18" customHeight="1" x14ac:dyDescent="0.35">
      <c r="A6" s="1"/>
      <c r="B6" s="3">
        <v>1</v>
      </c>
      <c r="C6" s="4">
        <v>88.3</v>
      </c>
      <c r="D6" s="1"/>
      <c r="E6" s="3" t="s">
        <v>10</v>
      </c>
      <c r="F6" s="5">
        <f>COUNT(C6:C35)</f>
        <v>30</v>
      </c>
      <c r="G6" s="1"/>
      <c r="H6" s="3" t="s">
        <v>11</v>
      </c>
      <c r="I6" s="3">
        <f>COUNTIFS($C$6:$C$35,"&gt;="&amp;0,$C$6:$C$35,"&lt;"&amp;10)</f>
        <v>2</v>
      </c>
      <c r="J6" s="6">
        <f t="shared" ref="J6:J15" si="0">I6/$F$6</f>
        <v>6.6666666666666666E-2</v>
      </c>
      <c r="K6" s="6">
        <f>SUM($J$6:J6)</f>
        <v>6.6666666666666666E-2</v>
      </c>
      <c r="L6" s="1"/>
      <c r="M6" s="1"/>
      <c r="N6" s="1"/>
    </row>
    <row r="7" spans="1:14" ht="18" customHeight="1" x14ac:dyDescent="0.35">
      <c r="A7" s="1"/>
      <c r="B7" s="7">
        <v>2</v>
      </c>
      <c r="C7" s="8">
        <v>40.700000000000003</v>
      </c>
      <c r="D7" s="1"/>
      <c r="E7" s="7" t="s">
        <v>12</v>
      </c>
      <c r="F7" s="9">
        <f>SUM(C6:C35)</f>
        <v>1661.8999999999996</v>
      </c>
      <c r="G7" s="1"/>
      <c r="H7" s="7" t="s">
        <v>13</v>
      </c>
      <c r="I7" s="7">
        <f>COUNTIFS($C$6:$C$35,"&gt;="&amp;10,$C$6:$C$35,"&lt;"&amp;20)</f>
        <v>1</v>
      </c>
      <c r="J7" s="10">
        <f t="shared" si="0"/>
        <v>3.3333333333333333E-2</v>
      </c>
      <c r="K7" s="10">
        <f>SUM($J$6:J7)</f>
        <v>0.1</v>
      </c>
      <c r="L7" s="1"/>
      <c r="M7" s="1"/>
      <c r="N7" s="1"/>
    </row>
    <row r="8" spans="1:14" ht="18" customHeight="1" x14ac:dyDescent="0.35">
      <c r="A8" s="1"/>
      <c r="B8" s="3">
        <v>3</v>
      </c>
      <c r="C8" s="4">
        <v>36.299999999999997</v>
      </c>
      <c r="D8" s="1"/>
      <c r="E8" s="3" t="s">
        <v>14</v>
      </c>
      <c r="F8" s="11">
        <f>AVERAGE(C6:C35)</f>
        <v>55.396666666666654</v>
      </c>
      <c r="G8" s="1"/>
      <c r="H8" s="3" t="s">
        <v>15</v>
      </c>
      <c r="I8" s="3">
        <f>COUNTIFS($C$6:$C$35,"&gt;="&amp;20,$C$6:$C$35,"&lt;"&amp;30)</f>
        <v>6</v>
      </c>
      <c r="J8" s="6">
        <f t="shared" si="0"/>
        <v>0.2</v>
      </c>
      <c r="K8" s="6">
        <f>SUM($J$6:J8)</f>
        <v>0.30000000000000004</v>
      </c>
      <c r="L8" s="1"/>
      <c r="M8" s="1"/>
      <c r="N8" s="1"/>
    </row>
    <row r="9" spans="1:14" ht="18" customHeight="1" x14ac:dyDescent="0.35">
      <c r="A9" s="1"/>
      <c r="B9" s="7">
        <v>4</v>
      </c>
      <c r="C9" s="8">
        <v>27.3</v>
      </c>
      <c r="D9" s="1"/>
      <c r="E9" s="7" t="s">
        <v>16</v>
      </c>
      <c r="F9" s="12">
        <f>MEDIAN(C6:C35)</f>
        <v>53.95</v>
      </c>
      <c r="G9" s="1"/>
      <c r="H9" s="7" t="s">
        <v>17</v>
      </c>
      <c r="I9" s="7">
        <f>COUNTIFS($C$6:$C$35,"&gt;="&amp;30,$C$6:$C$35,"&lt;"&amp;40)</f>
        <v>3</v>
      </c>
      <c r="J9" s="10">
        <f t="shared" si="0"/>
        <v>0.1</v>
      </c>
      <c r="K9" s="10">
        <f>SUM($J$6:J9)</f>
        <v>0.4</v>
      </c>
      <c r="L9" s="1"/>
      <c r="M9" s="1"/>
      <c r="N9" s="1"/>
    </row>
    <row r="10" spans="1:14" ht="18" customHeight="1" x14ac:dyDescent="0.35">
      <c r="A10" s="1"/>
      <c r="B10" s="3">
        <v>5</v>
      </c>
      <c r="C10" s="4">
        <v>36.799999999999997</v>
      </c>
      <c r="D10" s="1"/>
      <c r="E10" s="3" t="s">
        <v>18</v>
      </c>
      <c r="F10" s="13">
        <f>MODE(C6:C35)</f>
        <v>27.3</v>
      </c>
      <c r="G10" s="1"/>
      <c r="H10" s="3" t="s">
        <v>19</v>
      </c>
      <c r="I10" s="3">
        <f>COUNTIFS($C$6:$C$35,"&gt;="&amp;40,$C$6:$C$35,"&lt;"&amp;50)</f>
        <v>3</v>
      </c>
      <c r="J10" s="6">
        <f t="shared" si="0"/>
        <v>0.1</v>
      </c>
      <c r="K10" s="6">
        <f>SUM($J$6:J10)</f>
        <v>0.5</v>
      </c>
      <c r="L10" s="1"/>
      <c r="M10" s="1"/>
      <c r="N10" s="1"/>
    </row>
    <row r="11" spans="1:14" ht="18" customHeight="1" x14ac:dyDescent="0.35">
      <c r="A11" s="1"/>
      <c r="B11" s="7">
        <v>6</v>
      </c>
      <c r="C11" s="8">
        <v>91.7</v>
      </c>
      <c r="D11" s="1"/>
      <c r="E11" s="7" t="s">
        <v>20</v>
      </c>
      <c r="F11" s="9">
        <f>MIN(C6:C35)</f>
        <v>6</v>
      </c>
      <c r="G11" s="1"/>
      <c r="H11" s="7" t="s">
        <v>21</v>
      </c>
      <c r="I11" s="7">
        <f>COUNTIFS($C$6:$C$35,"&gt;="&amp;50,$C$6:$C$35,"&lt;"&amp;60)</f>
        <v>0</v>
      </c>
      <c r="J11" s="10">
        <f t="shared" si="0"/>
        <v>0</v>
      </c>
      <c r="K11" s="10">
        <f>SUM($J$6:J11)</f>
        <v>0.5</v>
      </c>
      <c r="L11" s="1"/>
      <c r="M11" s="1"/>
      <c r="N11" s="1"/>
    </row>
    <row r="12" spans="1:14" ht="18" customHeight="1" x14ac:dyDescent="0.35">
      <c r="A12" s="1"/>
      <c r="B12" s="3">
        <v>7</v>
      </c>
      <c r="C12" s="4">
        <v>67.3</v>
      </c>
      <c r="D12" s="1"/>
      <c r="E12" s="3" t="s">
        <v>22</v>
      </c>
      <c r="F12" s="13">
        <f>MAX(C6:C35)</f>
        <v>99.7</v>
      </c>
      <c r="G12" s="1"/>
      <c r="H12" s="3" t="s">
        <v>23</v>
      </c>
      <c r="I12" s="3">
        <f>COUNTIFS($C$6:$C$35,"&gt;="&amp;60,$C$6:$C$35,"&lt;"&amp;70)</f>
        <v>3</v>
      </c>
      <c r="J12" s="6">
        <f t="shared" si="0"/>
        <v>0.1</v>
      </c>
      <c r="K12" s="6">
        <f>SUM($J$6:J12)</f>
        <v>0.6</v>
      </c>
      <c r="L12" s="1"/>
      <c r="M12" s="1"/>
      <c r="N12" s="1"/>
    </row>
    <row r="13" spans="1:14" ht="18" customHeight="1" x14ac:dyDescent="0.35">
      <c r="A13" s="1"/>
      <c r="B13" s="7">
        <v>8</v>
      </c>
      <c r="C13" s="8">
        <v>7</v>
      </c>
      <c r="D13" s="1"/>
      <c r="E13" s="7" t="s">
        <v>24</v>
      </c>
      <c r="F13" s="9">
        <f>F12-F11</f>
        <v>93.7</v>
      </c>
      <c r="G13" s="1"/>
      <c r="H13" s="7" t="s">
        <v>25</v>
      </c>
      <c r="I13" s="7">
        <f>COUNTIFS($C$6:$C$35,"&gt;="&amp;70,$C$6:$C$35,"&lt;"&amp;80)</f>
        <v>3</v>
      </c>
      <c r="J13" s="10">
        <f t="shared" si="0"/>
        <v>0.1</v>
      </c>
      <c r="K13" s="10">
        <f>SUM($J$6:J13)</f>
        <v>0.7</v>
      </c>
      <c r="L13" s="1"/>
      <c r="M13" s="1"/>
      <c r="N13" s="1"/>
    </row>
    <row r="14" spans="1:14" ht="18" customHeight="1" x14ac:dyDescent="0.35">
      <c r="A14" s="1"/>
      <c r="B14" s="3">
        <v>9</v>
      </c>
      <c r="C14" s="4">
        <v>45.2</v>
      </c>
      <c r="D14" s="1"/>
      <c r="E14" s="3" t="s">
        <v>26</v>
      </c>
      <c r="F14" s="11">
        <f>QUARTILE(C6:C35,1)</f>
        <v>27.3</v>
      </c>
      <c r="G14" s="1"/>
      <c r="H14" s="3" t="s">
        <v>27</v>
      </c>
      <c r="I14" s="3">
        <f>COUNTIFS($C$6:$C$35,"&gt;="&amp;80,$C$6:$C$35,"&lt;"&amp;90)</f>
        <v>4</v>
      </c>
      <c r="J14" s="6">
        <f t="shared" si="0"/>
        <v>0.13333333333333333</v>
      </c>
      <c r="K14" s="6">
        <f>SUM($J$6:J14)</f>
        <v>0.83333333333333326</v>
      </c>
      <c r="L14" s="1"/>
      <c r="M14" s="1"/>
      <c r="N14" s="1"/>
    </row>
    <row r="15" spans="1:14" ht="18" customHeight="1" x14ac:dyDescent="0.35">
      <c r="A15" s="1"/>
      <c r="B15" s="7">
        <v>10</v>
      </c>
      <c r="C15" s="8">
        <v>23.3</v>
      </c>
      <c r="D15" s="1"/>
      <c r="E15" s="7" t="s">
        <v>28</v>
      </c>
      <c r="F15" s="12">
        <f>QUARTILE(C6:C35,3)</f>
        <v>87.5</v>
      </c>
      <c r="G15" s="1"/>
      <c r="H15" s="7" t="s">
        <v>29</v>
      </c>
      <c r="I15" s="7">
        <f>COUNTIFS($C$6:$C$35,"&gt;="&amp;90,$C$6:$C$35,"&lt;"&amp;100)</f>
        <v>5</v>
      </c>
      <c r="J15" s="10">
        <f t="shared" si="0"/>
        <v>0.16666666666666666</v>
      </c>
      <c r="K15" s="10">
        <f>SUM($J$6:J15)</f>
        <v>0.99999999999999989</v>
      </c>
      <c r="L15" s="1"/>
      <c r="M15" s="1"/>
      <c r="N15" s="1"/>
    </row>
    <row r="16" spans="1:14" ht="18" customHeight="1" x14ac:dyDescent="0.35">
      <c r="A16" s="1"/>
      <c r="B16" s="3">
        <v>11</v>
      </c>
      <c r="C16" s="4">
        <v>98.8</v>
      </c>
      <c r="D16" s="1"/>
      <c r="E16" s="3" t="s">
        <v>30</v>
      </c>
      <c r="F16" s="11">
        <f>F15-F14</f>
        <v>60.2</v>
      </c>
      <c r="G16" s="1"/>
      <c r="H16" s="1" t="s">
        <v>31</v>
      </c>
      <c r="I16" s="1">
        <f>SUM(I6:I15)</f>
        <v>30</v>
      </c>
      <c r="J16" s="14">
        <f>SUM(J6:J15)</f>
        <v>0.99999999999999989</v>
      </c>
      <c r="K16" s="1"/>
      <c r="L16" s="1"/>
      <c r="M16" s="1"/>
      <c r="N16" s="1"/>
    </row>
    <row r="17" spans="1:14" ht="18" customHeight="1" x14ac:dyDescent="0.35">
      <c r="A17" s="1"/>
      <c r="B17" s="7">
        <v>12</v>
      </c>
      <c r="C17" s="8">
        <v>90.1</v>
      </c>
      <c r="D17" s="1"/>
      <c r="E17" s="7" t="s">
        <v>32</v>
      </c>
      <c r="F17" s="12">
        <f>VAR(C6:C35)</f>
        <v>953.94929885057479</v>
      </c>
      <c r="G17" s="1"/>
      <c r="H17" s="1"/>
      <c r="I17" s="1"/>
      <c r="J17" s="1"/>
      <c r="K17" s="1"/>
      <c r="L17" s="1"/>
      <c r="M17" s="1"/>
      <c r="N17" s="1"/>
    </row>
    <row r="18" spans="1:14" ht="18" customHeight="1" x14ac:dyDescent="0.35">
      <c r="A18" s="1"/>
      <c r="B18" s="3">
        <v>13</v>
      </c>
      <c r="C18" s="4">
        <v>17.2</v>
      </c>
      <c r="D18" s="1"/>
      <c r="E18" s="3" t="s">
        <v>33</v>
      </c>
      <c r="F18" s="11">
        <f>STDEV(C6:C35)</f>
        <v>30.886069656895078</v>
      </c>
      <c r="G18" s="1"/>
      <c r="H18" s="1"/>
      <c r="I18" s="1"/>
      <c r="J18" s="1"/>
      <c r="K18" s="1"/>
      <c r="L18" s="1"/>
      <c r="M18" s="1"/>
      <c r="N18" s="1"/>
    </row>
    <row r="19" spans="1:14" ht="18" customHeight="1" x14ac:dyDescent="0.35">
      <c r="A19" s="1"/>
      <c r="B19" s="7">
        <v>14</v>
      </c>
      <c r="C19" s="8">
        <v>23.7</v>
      </c>
      <c r="D19" s="1"/>
      <c r="E19" s="7" t="s">
        <v>34</v>
      </c>
      <c r="F19" s="10">
        <f>F18/F8</f>
        <v>0.55754382917555356</v>
      </c>
      <c r="G19" s="1"/>
      <c r="H19" s="1"/>
      <c r="I19" s="1"/>
      <c r="J19" s="1"/>
      <c r="K19" s="1"/>
      <c r="L19" s="1"/>
      <c r="M19" s="1"/>
      <c r="N19" s="1"/>
    </row>
    <row r="20" spans="1:14" ht="18" customHeight="1" x14ac:dyDescent="0.35">
      <c r="A20" s="1"/>
      <c r="B20" s="3">
        <v>15</v>
      </c>
      <c r="C20" s="4">
        <v>97.4</v>
      </c>
      <c r="D20" s="1"/>
      <c r="E20" s="3" t="s">
        <v>35</v>
      </c>
      <c r="F20" s="11">
        <f>SKEW(C6:C35)</f>
        <v>-2.1307114521731906E-2</v>
      </c>
      <c r="G20" s="1"/>
      <c r="H20" s="1"/>
      <c r="I20" s="1"/>
      <c r="J20" s="1"/>
      <c r="K20" s="1"/>
      <c r="L20" s="1"/>
      <c r="M20" s="1"/>
      <c r="N20" s="1"/>
    </row>
    <row r="21" spans="1:14" ht="18" customHeight="1" x14ac:dyDescent="0.35">
      <c r="A21" s="1"/>
      <c r="B21" s="7">
        <v>16</v>
      </c>
      <c r="C21" s="8">
        <v>32.4</v>
      </c>
      <c r="D21" s="1"/>
      <c r="E21" s="7" t="s">
        <v>36</v>
      </c>
      <c r="F21" s="12">
        <f>KURT(C6:C35)</f>
        <v>-1.5288122885238444</v>
      </c>
      <c r="G21" s="1"/>
      <c r="H21" s="1"/>
      <c r="I21" s="1"/>
      <c r="J21" s="1"/>
      <c r="K21" s="1"/>
      <c r="L21" s="1"/>
      <c r="M21" s="1"/>
      <c r="N21" s="1"/>
    </row>
    <row r="22" spans="1:14" ht="18" customHeight="1" x14ac:dyDescent="0.35">
      <c r="A22" s="1"/>
      <c r="B22" s="3">
        <v>17</v>
      </c>
      <c r="C22" s="4">
        <v>87.8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8" customHeight="1" x14ac:dyDescent="0.35">
      <c r="A23" s="1"/>
      <c r="B23" s="7">
        <v>18</v>
      </c>
      <c r="C23" s="8">
        <v>69.8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8" customHeight="1" x14ac:dyDescent="0.35">
      <c r="A24" s="1"/>
      <c r="B24" s="3">
        <v>19</v>
      </c>
      <c r="C24" s="4">
        <v>62.6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8" customHeight="1" x14ac:dyDescent="0.35">
      <c r="A25" s="1"/>
      <c r="B25" s="7">
        <v>20</v>
      </c>
      <c r="C25" s="8">
        <v>99.7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8" customHeight="1" x14ac:dyDescent="0.35">
      <c r="A26" s="1"/>
      <c r="B26" s="3">
        <v>21</v>
      </c>
      <c r="C26" s="4">
        <v>20.6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8" customHeight="1" x14ac:dyDescent="0.35">
      <c r="A27" s="1"/>
      <c r="B27" s="7">
        <v>22</v>
      </c>
      <c r="C27" s="8">
        <v>73.099999999999994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8" customHeight="1" x14ac:dyDescent="0.35">
      <c r="A28" s="1"/>
      <c r="B28" s="3">
        <v>23</v>
      </c>
      <c r="C28" s="4">
        <v>21.6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8" customHeight="1" x14ac:dyDescent="0.35">
      <c r="A29" s="1"/>
      <c r="B29" s="7">
        <v>24</v>
      </c>
      <c r="C29" s="8">
        <v>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8" customHeight="1" x14ac:dyDescent="0.35">
      <c r="A30" s="1"/>
      <c r="B30" s="3">
        <v>25</v>
      </c>
      <c r="C30" s="4">
        <v>45.3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8" customHeight="1" x14ac:dyDescent="0.35">
      <c r="A31" s="1"/>
      <c r="B31" s="7">
        <v>26</v>
      </c>
      <c r="C31" s="8">
        <v>76.599999999999994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8" customHeight="1" x14ac:dyDescent="0.35">
      <c r="A32" s="1"/>
      <c r="B32" s="3">
        <v>27</v>
      </c>
      <c r="C32" s="4">
        <v>73.2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8" customHeight="1" x14ac:dyDescent="0.35">
      <c r="A33" s="1"/>
      <c r="B33" s="7">
        <v>28</v>
      </c>
      <c r="C33" s="8">
        <v>27.3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8" customHeight="1" x14ac:dyDescent="0.35">
      <c r="A34" s="1"/>
      <c r="B34" s="3">
        <v>29</v>
      </c>
      <c r="C34" s="4">
        <v>87.6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8" customHeight="1" x14ac:dyDescent="0.35">
      <c r="A35" s="1"/>
      <c r="B35" s="7">
        <v>30</v>
      </c>
      <c r="C35" s="8">
        <v>87.2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29" customHeight="1" x14ac:dyDescent="0.35">
      <c r="A37" s="1"/>
      <c r="B37" s="31" t="s">
        <v>37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</sheetData>
  <mergeCells count="3">
    <mergeCell ref="B1:N1"/>
    <mergeCell ref="B2:N2"/>
    <mergeCell ref="B37:N37"/>
  </mergeCells>
  <printOptions horizontalCentered="1"/>
  <pageMargins left="0.25" right="0.25" top="0.35" bottom="0.35" header="0.5" footer="0.5"/>
  <pageSetup paperSize="9" orientation="landscape"/>
  <headerFooter>
    <oddFooter>&amp;C&amp;8 Tugas 6 | Input Analysis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9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.81640625" customWidth="1"/>
    <col min="2" max="2" width="7" customWidth="1"/>
    <col min="3" max="4" width="12" customWidth="1"/>
    <col min="5" max="7" width="13" customWidth="1"/>
    <col min="8" max="8" width="3" customWidth="1"/>
    <col min="9" max="9" width="18" customWidth="1"/>
    <col min="10" max="10" width="17" customWidth="1"/>
    <col min="11" max="12" width="12" customWidth="1"/>
  </cols>
  <sheetData>
    <row r="1" spans="1:12" ht="29" customHeight="1" x14ac:dyDescent="0.35">
      <c r="B1" s="28" t="s">
        <v>38</v>
      </c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9" customHeight="1" x14ac:dyDescent="0.35">
      <c r="B2" s="30" t="s">
        <v>39</v>
      </c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9" customHeight="1" x14ac:dyDescent="0.35">
      <c r="A6" s="1"/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1"/>
      <c r="I6" s="2" t="s">
        <v>46</v>
      </c>
      <c r="J6" s="2" t="s">
        <v>5</v>
      </c>
      <c r="K6" s="1"/>
      <c r="L6" s="1"/>
    </row>
    <row r="7" spans="1:12" ht="18" customHeight="1" x14ac:dyDescent="0.35">
      <c r="A7" s="1"/>
      <c r="B7" s="7">
        <v>1</v>
      </c>
      <c r="C7" s="9">
        <f>SMALL('1 Accident Data'!$C$6:$C$35,B7)</f>
        <v>6</v>
      </c>
      <c r="D7" s="15">
        <f t="shared" ref="D7:D36" si="0">C7/100</f>
        <v>0.06</v>
      </c>
      <c r="E7" s="15">
        <f t="shared" ref="E7:E36" si="1">(B7-1)/$J$7</f>
        <v>0</v>
      </c>
      <c r="F7" s="15">
        <f t="shared" ref="F7:F36" si="2">B7/$J$7</f>
        <v>3.3333333333333333E-2</v>
      </c>
      <c r="G7" s="15">
        <f t="shared" ref="G7:G36" si="3">MAX(D7-E7,F7-D7)</f>
        <v>0.06</v>
      </c>
      <c r="H7" s="1"/>
      <c r="I7" s="7" t="s">
        <v>47</v>
      </c>
      <c r="J7" s="16">
        <f>'1 Accident Data'!F6</f>
        <v>30</v>
      </c>
      <c r="K7" s="1"/>
      <c r="L7" s="1"/>
    </row>
    <row r="8" spans="1:12" ht="18" customHeight="1" x14ac:dyDescent="0.35">
      <c r="A8" s="1"/>
      <c r="B8" s="3">
        <v>2</v>
      </c>
      <c r="C8" s="13">
        <f>SMALL('1 Accident Data'!$C$6:$C$35,B8)</f>
        <v>7</v>
      </c>
      <c r="D8" s="17">
        <f t="shared" si="0"/>
        <v>7.0000000000000007E-2</v>
      </c>
      <c r="E8" s="17">
        <f t="shared" si="1"/>
        <v>3.3333333333333333E-2</v>
      </c>
      <c r="F8" s="17">
        <f t="shared" si="2"/>
        <v>6.6666666666666666E-2</v>
      </c>
      <c r="G8" s="17">
        <f t="shared" si="3"/>
        <v>3.6666666666666674E-2</v>
      </c>
      <c r="H8" s="1"/>
      <c r="I8" s="3" t="s">
        <v>48</v>
      </c>
      <c r="J8" s="18">
        <v>0.05</v>
      </c>
      <c r="K8" s="1"/>
      <c r="L8" s="1"/>
    </row>
    <row r="9" spans="1:12" ht="18" customHeight="1" x14ac:dyDescent="0.35">
      <c r="A9" s="1"/>
      <c r="B9" s="7">
        <v>3</v>
      </c>
      <c r="C9" s="9">
        <f>SMALL('1 Accident Data'!$C$6:$C$35,B9)</f>
        <v>17.2</v>
      </c>
      <c r="D9" s="15">
        <f t="shared" si="0"/>
        <v>0.17199999999999999</v>
      </c>
      <c r="E9" s="15">
        <f t="shared" si="1"/>
        <v>6.6666666666666666E-2</v>
      </c>
      <c r="F9" s="15">
        <f t="shared" si="2"/>
        <v>0.1</v>
      </c>
      <c r="G9" s="15">
        <f t="shared" si="3"/>
        <v>0.10533333333333332</v>
      </c>
      <c r="H9" s="1"/>
      <c r="I9" s="7" t="s">
        <v>49</v>
      </c>
      <c r="J9" s="19">
        <f>MAX(G7:G36)</f>
        <v>0.17200000000000004</v>
      </c>
      <c r="K9" s="1"/>
      <c r="L9" s="1"/>
    </row>
    <row r="10" spans="1:12" ht="18" customHeight="1" x14ac:dyDescent="0.35">
      <c r="A10" s="1"/>
      <c r="B10" s="3">
        <v>4</v>
      </c>
      <c r="C10" s="13">
        <f>SMALL('1 Accident Data'!$C$6:$C$35,B10)</f>
        <v>20.6</v>
      </c>
      <c r="D10" s="17">
        <f t="shared" si="0"/>
        <v>0.20600000000000002</v>
      </c>
      <c r="E10" s="17">
        <f t="shared" si="1"/>
        <v>0.1</v>
      </c>
      <c r="F10" s="17">
        <f t="shared" si="2"/>
        <v>0.13333333333333333</v>
      </c>
      <c r="G10" s="17">
        <f t="shared" si="3"/>
        <v>0.10600000000000001</v>
      </c>
      <c r="H10" s="1"/>
      <c r="I10" s="3" t="s">
        <v>50</v>
      </c>
      <c r="J10" s="20">
        <v>0.2417034706</v>
      </c>
      <c r="K10" s="1"/>
      <c r="L10" s="1"/>
    </row>
    <row r="11" spans="1:12" ht="18" customHeight="1" x14ac:dyDescent="0.35">
      <c r="A11" s="1"/>
      <c r="B11" s="7">
        <v>5</v>
      </c>
      <c r="C11" s="9">
        <f>SMALL('1 Accident Data'!$C$6:$C$35,B11)</f>
        <v>21.6</v>
      </c>
      <c r="D11" s="15">
        <f t="shared" si="0"/>
        <v>0.21600000000000003</v>
      </c>
      <c r="E11" s="15">
        <f t="shared" si="1"/>
        <v>0.13333333333333333</v>
      </c>
      <c r="F11" s="15">
        <f t="shared" si="2"/>
        <v>0.16666666666666666</v>
      </c>
      <c r="G11" s="15">
        <f t="shared" si="3"/>
        <v>8.2666666666666694E-2</v>
      </c>
      <c r="H11" s="1"/>
      <c r="I11" s="7" t="s">
        <v>51</v>
      </c>
      <c r="J11" s="7" t="str">
        <f>IF(J9&gt;J10,"Reject H0","Do not reject H0")</f>
        <v>Do not reject H0</v>
      </c>
      <c r="K11" s="1"/>
      <c r="L11" s="1"/>
    </row>
    <row r="12" spans="1:12" ht="18" customHeight="1" x14ac:dyDescent="0.35">
      <c r="A12" s="1"/>
      <c r="B12" s="3">
        <v>6</v>
      </c>
      <c r="C12" s="13">
        <f>SMALL('1 Accident Data'!$C$6:$C$35,B12)</f>
        <v>23.3</v>
      </c>
      <c r="D12" s="17">
        <f t="shared" si="0"/>
        <v>0.23300000000000001</v>
      </c>
      <c r="E12" s="17">
        <f t="shared" si="1"/>
        <v>0.16666666666666666</v>
      </c>
      <c r="F12" s="17">
        <f t="shared" si="2"/>
        <v>0.2</v>
      </c>
      <c r="G12" s="17">
        <f t="shared" si="3"/>
        <v>6.6333333333333355E-2</v>
      </c>
      <c r="H12" s="1"/>
      <c r="I12" s="3" t="s">
        <v>52</v>
      </c>
      <c r="J12" s="3" t="str">
        <f>IF(J9&gt;J10,"Non-uniform evidence","Uniform fit plausible")</f>
        <v>Uniform fit plausible</v>
      </c>
      <c r="K12" s="1"/>
      <c r="L12" s="1"/>
    </row>
    <row r="13" spans="1:12" ht="18" customHeight="1" x14ac:dyDescent="0.35">
      <c r="A13" s="1"/>
      <c r="B13" s="7">
        <v>7</v>
      </c>
      <c r="C13" s="9">
        <f>SMALL('1 Accident Data'!$C$6:$C$35,B13)</f>
        <v>23.7</v>
      </c>
      <c r="D13" s="15">
        <f t="shared" si="0"/>
        <v>0.23699999999999999</v>
      </c>
      <c r="E13" s="15">
        <f t="shared" si="1"/>
        <v>0.2</v>
      </c>
      <c r="F13" s="15">
        <f t="shared" si="2"/>
        <v>0.23333333333333334</v>
      </c>
      <c r="G13" s="15">
        <f t="shared" si="3"/>
        <v>3.6999999999999977E-2</v>
      </c>
      <c r="H13" s="1"/>
      <c r="I13" s="1"/>
      <c r="J13" s="1"/>
      <c r="K13" s="1"/>
      <c r="L13" s="1"/>
    </row>
    <row r="14" spans="1:12" ht="18" customHeight="1" x14ac:dyDescent="0.35">
      <c r="A14" s="1"/>
      <c r="B14" s="3">
        <v>8</v>
      </c>
      <c r="C14" s="13">
        <f>SMALL('1 Accident Data'!$C$6:$C$35,B14)</f>
        <v>27.3</v>
      </c>
      <c r="D14" s="17">
        <f t="shared" si="0"/>
        <v>0.27300000000000002</v>
      </c>
      <c r="E14" s="17">
        <f t="shared" si="1"/>
        <v>0.23333333333333334</v>
      </c>
      <c r="F14" s="17">
        <f t="shared" si="2"/>
        <v>0.26666666666666666</v>
      </c>
      <c r="G14" s="17">
        <f t="shared" si="3"/>
        <v>3.9666666666666683E-2</v>
      </c>
      <c r="H14" s="1"/>
      <c r="I14" s="1"/>
      <c r="J14" s="1"/>
      <c r="K14" s="1"/>
      <c r="L14" s="1"/>
    </row>
    <row r="15" spans="1:12" ht="18" customHeight="1" x14ac:dyDescent="0.35">
      <c r="A15" s="1"/>
      <c r="B15" s="7">
        <v>9</v>
      </c>
      <c r="C15" s="9">
        <f>SMALL('1 Accident Data'!$C$6:$C$35,B15)</f>
        <v>27.3</v>
      </c>
      <c r="D15" s="15">
        <f t="shared" si="0"/>
        <v>0.27300000000000002</v>
      </c>
      <c r="E15" s="15">
        <f t="shared" si="1"/>
        <v>0.26666666666666666</v>
      </c>
      <c r="F15" s="15">
        <f t="shared" si="2"/>
        <v>0.3</v>
      </c>
      <c r="G15" s="15">
        <f t="shared" si="3"/>
        <v>2.6999999999999968E-2</v>
      </c>
      <c r="H15" s="1"/>
      <c r="I15" s="31" t="s">
        <v>53</v>
      </c>
      <c r="J15" s="29"/>
      <c r="K15" s="29"/>
      <c r="L15" s="29"/>
    </row>
    <row r="16" spans="1:12" ht="18" customHeight="1" x14ac:dyDescent="0.35">
      <c r="A16" s="1"/>
      <c r="B16" s="3">
        <v>10</v>
      </c>
      <c r="C16" s="13">
        <f>SMALL('1 Accident Data'!$C$6:$C$35,B16)</f>
        <v>32.4</v>
      </c>
      <c r="D16" s="17">
        <f t="shared" si="0"/>
        <v>0.32400000000000001</v>
      </c>
      <c r="E16" s="17">
        <f t="shared" si="1"/>
        <v>0.3</v>
      </c>
      <c r="F16" s="17">
        <f t="shared" si="2"/>
        <v>0.33333333333333331</v>
      </c>
      <c r="G16" s="17">
        <f t="shared" si="3"/>
        <v>2.4000000000000021E-2</v>
      </c>
      <c r="H16" s="1"/>
      <c r="I16" s="29"/>
      <c r="J16" s="29"/>
      <c r="K16" s="29"/>
      <c r="L16" s="29"/>
    </row>
    <row r="17" spans="1:12" ht="18" customHeight="1" x14ac:dyDescent="0.35">
      <c r="A17" s="1"/>
      <c r="B17" s="7">
        <v>11</v>
      </c>
      <c r="C17" s="9">
        <f>SMALL('1 Accident Data'!$C$6:$C$35,B17)</f>
        <v>36.299999999999997</v>
      </c>
      <c r="D17" s="15">
        <f t="shared" si="0"/>
        <v>0.36299999999999999</v>
      </c>
      <c r="E17" s="15">
        <f t="shared" si="1"/>
        <v>0.33333333333333331</v>
      </c>
      <c r="F17" s="15">
        <f t="shared" si="2"/>
        <v>0.36666666666666664</v>
      </c>
      <c r="G17" s="15">
        <f t="shared" si="3"/>
        <v>2.9666666666666675E-2</v>
      </c>
      <c r="H17" s="1"/>
      <c r="I17" s="29"/>
      <c r="J17" s="29"/>
      <c r="K17" s="29"/>
      <c r="L17" s="29"/>
    </row>
    <row r="18" spans="1:12" ht="18" customHeight="1" x14ac:dyDescent="0.35">
      <c r="A18" s="1"/>
      <c r="B18" s="3">
        <v>12</v>
      </c>
      <c r="C18" s="13">
        <f>SMALL('1 Accident Data'!$C$6:$C$35,B18)</f>
        <v>36.799999999999997</v>
      </c>
      <c r="D18" s="17">
        <f t="shared" si="0"/>
        <v>0.36799999999999999</v>
      </c>
      <c r="E18" s="17">
        <f t="shared" si="1"/>
        <v>0.36666666666666664</v>
      </c>
      <c r="F18" s="17">
        <f t="shared" si="2"/>
        <v>0.4</v>
      </c>
      <c r="G18" s="17">
        <f t="shared" si="3"/>
        <v>3.2000000000000028E-2</v>
      </c>
      <c r="H18" s="1"/>
      <c r="I18" s="29"/>
      <c r="J18" s="29"/>
      <c r="K18" s="29"/>
      <c r="L18" s="29"/>
    </row>
    <row r="19" spans="1:12" ht="18" customHeight="1" x14ac:dyDescent="0.35">
      <c r="A19" s="1"/>
      <c r="B19" s="7">
        <v>13</v>
      </c>
      <c r="C19" s="9">
        <f>SMALL('1 Accident Data'!$C$6:$C$35,B19)</f>
        <v>40.700000000000003</v>
      </c>
      <c r="D19" s="15">
        <f t="shared" si="0"/>
        <v>0.40700000000000003</v>
      </c>
      <c r="E19" s="15">
        <f t="shared" si="1"/>
        <v>0.4</v>
      </c>
      <c r="F19" s="15">
        <f t="shared" si="2"/>
        <v>0.43333333333333335</v>
      </c>
      <c r="G19" s="15">
        <f t="shared" si="3"/>
        <v>2.633333333333332E-2</v>
      </c>
      <c r="H19" s="1"/>
      <c r="I19" s="1"/>
      <c r="J19" s="1"/>
      <c r="K19" s="1"/>
      <c r="L19" s="1"/>
    </row>
    <row r="20" spans="1:12" ht="18" customHeight="1" x14ac:dyDescent="0.35">
      <c r="A20" s="1"/>
      <c r="B20" s="3">
        <v>14</v>
      </c>
      <c r="C20" s="13">
        <f>SMALL('1 Accident Data'!$C$6:$C$35,B20)</f>
        <v>45.2</v>
      </c>
      <c r="D20" s="17">
        <f t="shared" si="0"/>
        <v>0.45200000000000001</v>
      </c>
      <c r="E20" s="17">
        <f t="shared" si="1"/>
        <v>0.43333333333333335</v>
      </c>
      <c r="F20" s="17">
        <f t="shared" si="2"/>
        <v>0.46666666666666667</v>
      </c>
      <c r="G20" s="17">
        <f t="shared" si="3"/>
        <v>1.8666666666666665E-2</v>
      </c>
      <c r="H20" s="1"/>
      <c r="I20" s="1"/>
      <c r="J20" s="1"/>
      <c r="K20" s="1"/>
      <c r="L20" s="1"/>
    </row>
    <row r="21" spans="1:12" ht="18" customHeight="1" x14ac:dyDescent="0.35">
      <c r="A21" s="1"/>
      <c r="B21" s="7">
        <v>15</v>
      </c>
      <c r="C21" s="9">
        <f>SMALL('1 Accident Data'!$C$6:$C$35,B21)</f>
        <v>45.3</v>
      </c>
      <c r="D21" s="15">
        <f t="shared" si="0"/>
        <v>0.45299999999999996</v>
      </c>
      <c r="E21" s="15">
        <f t="shared" si="1"/>
        <v>0.46666666666666667</v>
      </c>
      <c r="F21" s="15">
        <f t="shared" si="2"/>
        <v>0.5</v>
      </c>
      <c r="G21" s="15">
        <f t="shared" si="3"/>
        <v>4.7000000000000042E-2</v>
      </c>
      <c r="H21" s="1"/>
      <c r="I21" s="1"/>
      <c r="J21" s="1"/>
      <c r="K21" s="1"/>
      <c r="L21" s="1"/>
    </row>
    <row r="22" spans="1:12" ht="18" customHeight="1" x14ac:dyDescent="0.35">
      <c r="A22" s="1"/>
      <c r="B22" s="3">
        <v>16</v>
      </c>
      <c r="C22" s="13">
        <f>SMALL('1 Accident Data'!$C$6:$C$35,B22)</f>
        <v>62.6</v>
      </c>
      <c r="D22" s="17">
        <f t="shared" si="0"/>
        <v>0.626</v>
      </c>
      <c r="E22" s="17">
        <f t="shared" si="1"/>
        <v>0.5</v>
      </c>
      <c r="F22" s="17">
        <f t="shared" si="2"/>
        <v>0.53333333333333333</v>
      </c>
      <c r="G22" s="17">
        <f t="shared" si="3"/>
        <v>0.126</v>
      </c>
      <c r="H22" s="1"/>
      <c r="I22" s="1"/>
      <c r="J22" s="1"/>
      <c r="K22" s="1"/>
      <c r="L22" s="1"/>
    </row>
    <row r="23" spans="1:12" ht="18" customHeight="1" x14ac:dyDescent="0.35">
      <c r="A23" s="1"/>
      <c r="B23" s="7">
        <v>17</v>
      </c>
      <c r="C23" s="9">
        <f>SMALL('1 Accident Data'!$C$6:$C$35,B23)</f>
        <v>67.3</v>
      </c>
      <c r="D23" s="15">
        <f t="shared" si="0"/>
        <v>0.67299999999999993</v>
      </c>
      <c r="E23" s="15">
        <f t="shared" si="1"/>
        <v>0.53333333333333333</v>
      </c>
      <c r="F23" s="15">
        <f t="shared" si="2"/>
        <v>0.56666666666666665</v>
      </c>
      <c r="G23" s="15">
        <f t="shared" si="3"/>
        <v>0.13966666666666661</v>
      </c>
      <c r="H23" s="1"/>
      <c r="I23" s="1"/>
      <c r="J23" s="1"/>
      <c r="K23" s="1"/>
      <c r="L23" s="1"/>
    </row>
    <row r="24" spans="1:12" ht="18" customHeight="1" x14ac:dyDescent="0.35">
      <c r="A24" s="1"/>
      <c r="B24" s="3">
        <v>18</v>
      </c>
      <c r="C24" s="13">
        <f>SMALL('1 Accident Data'!$C$6:$C$35,B24)</f>
        <v>69.8</v>
      </c>
      <c r="D24" s="17">
        <f t="shared" si="0"/>
        <v>0.69799999999999995</v>
      </c>
      <c r="E24" s="17">
        <f t="shared" si="1"/>
        <v>0.56666666666666665</v>
      </c>
      <c r="F24" s="17">
        <f t="shared" si="2"/>
        <v>0.6</v>
      </c>
      <c r="G24" s="17">
        <f t="shared" si="3"/>
        <v>0.1313333333333333</v>
      </c>
      <c r="H24" s="1"/>
      <c r="I24" s="1"/>
      <c r="J24" s="1"/>
      <c r="K24" s="1"/>
      <c r="L24" s="1"/>
    </row>
    <row r="25" spans="1:12" ht="18" customHeight="1" x14ac:dyDescent="0.35">
      <c r="A25" s="1"/>
      <c r="B25" s="7">
        <v>19</v>
      </c>
      <c r="C25" s="9">
        <f>SMALL('1 Accident Data'!$C$6:$C$35,B25)</f>
        <v>73.099999999999994</v>
      </c>
      <c r="D25" s="15">
        <f t="shared" si="0"/>
        <v>0.73099999999999998</v>
      </c>
      <c r="E25" s="15">
        <f t="shared" si="1"/>
        <v>0.6</v>
      </c>
      <c r="F25" s="15">
        <f t="shared" si="2"/>
        <v>0.6333333333333333</v>
      </c>
      <c r="G25" s="15">
        <f t="shared" si="3"/>
        <v>0.13100000000000001</v>
      </c>
      <c r="H25" s="1"/>
      <c r="I25" s="1"/>
      <c r="J25" s="1"/>
      <c r="K25" s="1"/>
      <c r="L25" s="1"/>
    </row>
    <row r="26" spans="1:12" ht="18" customHeight="1" x14ac:dyDescent="0.35">
      <c r="A26" s="1"/>
      <c r="B26" s="3">
        <v>20</v>
      </c>
      <c r="C26" s="13">
        <f>SMALL('1 Accident Data'!$C$6:$C$35,B26)</f>
        <v>73.2</v>
      </c>
      <c r="D26" s="17">
        <f t="shared" si="0"/>
        <v>0.73199999999999998</v>
      </c>
      <c r="E26" s="17">
        <f t="shared" si="1"/>
        <v>0.6333333333333333</v>
      </c>
      <c r="F26" s="17">
        <f t="shared" si="2"/>
        <v>0.66666666666666663</v>
      </c>
      <c r="G26" s="17">
        <f t="shared" si="3"/>
        <v>9.866666666666668E-2</v>
      </c>
      <c r="H26" s="1"/>
      <c r="I26" s="1"/>
      <c r="J26" s="1"/>
      <c r="K26" s="1"/>
      <c r="L26" s="1"/>
    </row>
    <row r="27" spans="1:12" ht="18" customHeight="1" x14ac:dyDescent="0.35">
      <c r="A27" s="1"/>
      <c r="B27" s="7">
        <v>21</v>
      </c>
      <c r="C27" s="9">
        <f>SMALL('1 Accident Data'!$C$6:$C$35,B27)</f>
        <v>76.599999999999994</v>
      </c>
      <c r="D27" s="15">
        <f t="shared" si="0"/>
        <v>0.7659999999999999</v>
      </c>
      <c r="E27" s="15">
        <f t="shared" si="1"/>
        <v>0.66666666666666663</v>
      </c>
      <c r="F27" s="15">
        <f t="shared" si="2"/>
        <v>0.7</v>
      </c>
      <c r="G27" s="15">
        <f t="shared" si="3"/>
        <v>9.9333333333333274E-2</v>
      </c>
      <c r="H27" s="1"/>
      <c r="I27" s="1"/>
      <c r="J27" s="1"/>
      <c r="K27" s="1"/>
      <c r="L27" s="1"/>
    </row>
    <row r="28" spans="1:12" ht="18" customHeight="1" x14ac:dyDescent="0.35">
      <c r="A28" s="1"/>
      <c r="B28" s="3">
        <v>22</v>
      </c>
      <c r="C28" s="13">
        <f>SMALL('1 Accident Data'!$C$6:$C$35,B28)</f>
        <v>87.2</v>
      </c>
      <c r="D28" s="17">
        <f t="shared" si="0"/>
        <v>0.872</v>
      </c>
      <c r="E28" s="17">
        <f t="shared" si="1"/>
        <v>0.7</v>
      </c>
      <c r="F28" s="17">
        <f t="shared" si="2"/>
        <v>0.73333333333333328</v>
      </c>
      <c r="G28" s="17">
        <f t="shared" si="3"/>
        <v>0.17200000000000004</v>
      </c>
      <c r="H28" s="1"/>
      <c r="I28" s="1"/>
      <c r="J28" s="1"/>
      <c r="K28" s="1"/>
      <c r="L28" s="1"/>
    </row>
    <row r="29" spans="1:12" ht="18" customHeight="1" x14ac:dyDescent="0.35">
      <c r="A29" s="1"/>
      <c r="B29" s="7">
        <v>23</v>
      </c>
      <c r="C29" s="9">
        <f>SMALL('1 Accident Data'!$C$6:$C$35,B29)</f>
        <v>87.6</v>
      </c>
      <c r="D29" s="15">
        <f t="shared" si="0"/>
        <v>0.87599999999999989</v>
      </c>
      <c r="E29" s="15">
        <f t="shared" si="1"/>
        <v>0.73333333333333328</v>
      </c>
      <c r="F29" s="15">
        <f t="shared" si="2"/>
        <v>0.76666666666666672</v>
      </c>
      <c r="G29" s="15">
        <f t="shared" si="3"/>
        <v>0.14266666666666661</v>
      </c>
      <c r="H29" s="1"/>
      <c r="I29" s="1"/>
      <c r="J29" s="1"/>
      <c r="K29" s="1"/>
      <c r="L29" s="1"/>
    </row>
    <row r="30" spans="1:12" ht="18" customHeight="1" x14ac:dyDescent="0.35">
      <c r="A30" s="1"/>
      <c r="B30" s="3">
        <v>24</v>
      </c>
      <c r="C30" s="13">
        <f>SMALL('1 Accident Data'!$C$6:$C$35,B30)</f>
        <v>87.8</v>
      </c>
      <c r="D30" s="17">
        <f t="shared" si="0"/>
        <v>0.878</v>
      </c>
      <c r="E30" s="17">
        <f t="shared" si="1"/>
        <v>0.76666666666666672</v>
      </c>
      <c r="F30" s="17">
        <f t="shared" si="2"/>
        <v>0.8</v>
      </c>
      <c r="G30" s="17">
        <f t="shared" si="3"/>
        <v>0.11133333333333328</v>
      </c>
      <c r="H30" s="1"/>
      <c r="I30" s="1"/>
      <c r="J30" s="1"/>
      <c r="K30" s="1"/>
      <c r="L30" s="1"/>
    </row>
    <row r="31" spans="1:12" ht="18" customHeight="1" x14ac:dyDescent="0.35">
      <c r="A31" s="1"/>
      <c r="B31" s="7">
        <v>25</v>
      </c>
      <c r="C31" s="9">
        <f>SMALL('1 Accident Data'!$C$6:$C$35,B31)</f>
        <v>88.3</v>
      </c>
      <c r="D31" s="15">
        <f t="shared" si="0"/>
        <v>0.88300000000000001</v>
      </c>
      <c r="E31" s="15">
        <f t="shared" si="1"/>
        <v>0.8</v>
      </c>
      <c r="F31" s="15">
        <f t="shared" si="2"/>
        <v>0.83333333333333337</v>
      </c>
      <c r="G31" s="15">
        <f t="shared" si="3"/>
        <v>8.2999999999999963E-2</v>
      </c>
      <c r="H31" s="1"/>
      <c r="I31" s="1"/>
      <c r="J31" s="1"/>
      <c r="K31" s="1"/>
      <c r="L31" s="1"/>
    </row>
    <row r="32" spans="1:12" ht="18" customHeight="1" x14ac:dyDescent="0.35">
      <c r="A32" s="1"/>
      <c r="B32" s="3">
        <v>26</v>
      </c>
      <c r="C32" s="13">
        <f>SMALL('1 Accident Data'!$C$6:$C$35,B32)</f>
        <v>90.1</v>
      </c>
      <c r="D32" s="17">
        <f t="shared" si="0"/>
        <v>0.90099999999999991</v>
      </c>
      <c r="E32" s="17">
        <f t="shared" si="1"/>
        <v>0.83333333333333337</v>
      </c>
      <c r="F32" s="17">
        <f t="shared" si="2"/>
        <v>0.8666666666666667</v>
      </c>
      <c r="G32" s="17">
        <f t="shared" si="3"/>
        <v>6.7666666666666542E-2</v>
      </c>
      <c r="H32" s="1"/>
      <c r="I32" s="1"/>
      <c r="J32" s="1"/>
      <c r="K32" s="1"/>
      <c r="L32" s="1"/>
    </row>
    <row r="33" spans="1:12" ht="18" customHeight="1" x14ac:dyDescent="0.35">
      <c r="A33" s="1"/>
      <c r="B33" s="7">
        <v>27</v>
      </c>
      <c r="C33" s="9">
        <f>SMALL('1 Accident Data'!$C$6:$C$35,B33)</f>
        <v>91.7</v>
      </c>
      <c r="D33" s="15">
        <f t="shared" si="0"/>
        <v>0.91700000000000004</v>
      </c>
      <c r="E33" s="15">
        <f t="shared" si="1"/>
        <v>0.8666666666666667</v>
      </c>
      <c r="F33" s="15">
        <f t="shared" si="2"/>
        <v>0.9</v>
      </c>
      <c r="G33" s="15">
        <f t="shared" si="3"/>
        <v>5.0333333333333341E-2</v>
      </c>
      <c r="H33" s="1"/>
      <c r="I33" s="1"/>
      <c r="J33" s="1"/>
      <c r="K33" s="1"/>
      <c r="L33" s="1"/>
    </row>
    <row r="34" spans="1:12" ht="18" customHeight="1" x14ac:dyDescent="0.35">
      <c r="A34" s="1"/>
      <c r="B34" s="3">
        <v>28</v>
      </c>
      <c r="C34" s="13">
        <f>SMALL('1 Accident Data'!$C$6:$C$35,B34)</f>
        <v>97.4</v>
      </c>
      <c r="D34" s="17">
        <f t="shared" si="0"/>
        <v>0.97400000000000009</v>
      </c>
      <c r="E34" s="17">
        <f t="shared" si="1"/>
        <v>0.9</v>
      </c>
      <c r="F34" s="17">
        <f t="shared" si="2"/>
        <v>0.93333333333333335</v>
      </c>
      <c r="G34" s="17">
        <f t="shared" si="3"/>
        <v>7.4000000000000066E-2</v>
      </c>
      <c r="H34" s="1"/>
      <c r="I34" s="1"/>
      <c r="J34" s="1"/>
      <c r="K34" s="1"/>
      <c r="L34" s="1"/>
    </row>
    <row r="35" spans="1:12" ht="18" customHeight="1" x14ac:dyDescent="0.35">
      <c r="A35" s="1"/>
      <c r="B35" s="7">
        <v>29</v>
      </c>
      <c r="C35" s="9">
        <f>SMALL('1 Accident Data'!$C$6:$C$35,B35)</f>
        <v>98.8</v>
      </c>
      <c r="D35" s="15">
        <f t="shared" si="0"/>
        <v>0.98799999999999999</v>
      </c>
      <c r="E35" s="15">
        <f t="shared" si="1"/>
        <v>0.93333333333333335</v>
      </c>
      <c r="F35" s="15">
        <f t="shared" si="2"/>
        <v>0.96666666666666667</v>
      </c>
      <c r="G35" s="15">
        <f t="shared" si="3"/>
        <v>5.4666666666666641E-2</v>
      </c>
      <c r="H35" s="1"/>
      <c r="I35" s="1"/>
      <c r="J35" s="1"/>
      <c r="K35" s="1"/>
      <c r="L35" s="1"/>
    </row>
    <row r="36" spans="1:12" ht="18" customHeight="1" x14ac:dyDescent="0.35">
      <c r="A36" s="1"/>
      <c r="B36" s="3">
        <v>30</v>
      </c>
      <c r="C36" s="13">
        <f>SMALL('1 Accident Data'!$C$6:$C$35,B36)</f>
        <v>99.7</v>
      </c>
      <c r="D36" s="17">
        <f t="shared" si="0"/>
        <v>0.997</v>
      </c>
      <c r="E36" s="17">
        <f t="shared" si="1"/>
        <v>0.96666666666666667</v>
      </c>
      <c r="F36" s="17">
        <f t="shared" si="2"/>
        <v>1</v>
      </c>
      <c r="G36" s="17">
        <f t="shared" si="3"/>
        <v>3.0333333333333323E-2</v>
      </c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29" customHeight="1" x14ac:dyDescent="0.35">
      <c r="A38" s="1"/>
      <c r="B38" s="31" t="s">
        <v>54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</sheetData>
  <mergeCells count="4">
    <mergeCell ref="B2:L2"/>
    <mergeCell ref="B38:L38"/>
    <mergeCell ref="I15:L18"/>
    <mergeCell ref="B1:L1"/>
  </mergeCells>
  <printOptions horizontalCentered="1"/>
  <pageMargins left="0.25" right="0.25" top="0.35" bottom="0.35" header="0.5" footer="0.5"/>
  <pageSetup paperSize="9" orientation="landscape"/>
  <headerFooter>
    <oddFooter>&amp;C&amp;8 Tugas 6 | Input Analysis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55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.81640625" customWidth="1"/>
    <col min="2" max="2" width="9" customWidth="1"/>
    <col min="3" max="3" width="13" customWidth="1"/>
    <col min="4" max="4" width="3" customWidth="1"/>
    <col min="5" max="5" width="9" customWidth="1"/>
    <col min="6" max="6" width="13" customWidth="1"/>
    <col min="7" max="7" width="3" customWidth="1"/>
    <col min="8" max="8" width="19" customWidth="1"/>
    <col min="9" max="9" width="13" customWidth="1"/>
    <col min="10" max="10" width="3" customWidth="1"/>
    <col min="11" max="16" width="10" customWidth="1"/>
    <col min="17" max="17" width="8" customWidth="1"/>
    <col min="20" max="20" width="13" hidden="1" customWidth="1"/>
  </cols>
  <sheetData>
    <row r="1" spans="1:20" ht="29" customHeight="1" x14ac:dyDescent="0.35">
      <c r="B1" s="28" t="s">
        <v>55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</row>
    <row r="2" spans="1:20" ht="19" customHeight="1" x14ac:dyDescent="0.35">
      <c r="B2" s="30" t="s">
        <v>56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2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20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20" ht="29" customHeight="1" x14ac:dyDescent="0.35">
      <c r="A5" s="1"/>
      <c r="B5" s="2" t="s">
        <v>57</v>
      </c>
      <c r="C5" s="2" t="s">
        <v>58</v>
      </c>
      <c r="D5" s="1"/>
      <c r="E5" s="2" t="s">
        <v>57</v>
      </c>
      <c r="F5" s="2" t="s">
        <v>58</v>
      </c>
      <c r="G5" s="1"/>
      <c r="H5" s="2" t="s">
        <v>4</v>
      </c>
      <c r="I5" s="2" t="s">
        <v>5</v>
      </c>
      <c r="J5" s="1"/>
      <c r="K5" s="1"/>
      <c r="L5" s="1"/>
      <c r="M5" s="1"/>
      <c r="N5" s="1"/>
      <c r="O5" s="1"/>
      <c r="P5" s="1"/>
      <c r="Q5" s="1"/>
    </row>
    <row r="6" spans="1:20" ht="18" customHeight="1" x14ac:dyDescent="0.35">
      <c r="A6" s="1"/>
      <c r="B6" s="3">
        <v>1</v>
      </c>
      <c r="C6" s="21">
        <v>1.88</v>
      </c>
      <c r="D6" s="1"/>
      <c r="E6" s="3">
        <v>26</v>
      </c>
      <c r="F6" s="21">
        <v>0.04</v>
      </c>
      <c r="G6" s="1"/>
      <c r="H6" s="3" t="s">
        <v>10</v>
      </c>
      <c r="I6" s="5">
        <f>COUNT(T6:T55)</f>
        <v>50</v>
      </c>
      <c r="J6" s="1"/>
      <c r="K6" s="1"/>
      <c r="L6" s="1"/>
      <c r="M6" s="1"/>
      <c r="N6" s="1"/>
      <c r="O6" s="1"/>
      <c r="P6" s="1"/>
      <c r="Q6" s="1"/>
      <c r="T6">
        <f t="shared" ref="T6:T30" si="0">C6</f>
        <v>1.88</v>
      </c>
    </row>
    <row r="7" spans="1:20" ht="18" customHeight="1" x14ac:dyDescent="0.35">
      <c r="A7" s="1"/>
      <c r="B7" s="7">
        <v>2</v>
      </c>
      <c r="C7" s="22">
        <v>0.54</v>
      </c>
      <c r="D7" s="1"/>
      <c r="E7" s="7">
        <v>27</v>
      </c>
      <c r="F7" s="22">
        <v>1.49</v>
      </c>
      <c r="G7" s="1"/>
      <c r="H7" s="7" t="s">
        <v>59</v>
      </c>
      <c r="I7" s="23">
        <f>SUM(T6:T55)</f>
        <v>60.300000000000004</v>
      </c>
      <c r="J7" s="1"/>
      <c r="K7" s="1"/>
      <c r="L7" s="1"/>
      <c r="M7" s="1"/>
      <c r="N7" s="1"/>
      <c r="O7" s="1"/>
      <c r="P7" s="1"/>
      <c r="Q7" s="1"/>
      <c r="T7">
        <f t="shared" si="0"/>
        <v>0.54</v>
      </c>
    </row>
    <row r="8" spans="1:20" ht="18" customHeight="1" x14ac:dyDescent="0.35">
      <c r="A8" s="1"/>
      <c r="B8" s="3">
        <v>3</v>
      </c>
      <c r="C8" s="21">
        <v>1.9</v>
      </c>
      <c r="D8" s="1"/>
      <c r="E8" s="3">
        <v>28</v>
      </c>
      <c r="F8" s="21">
        <v>0.66</v>
      </c>
      <c r="G8" s="1"/>
      <c r="H8" s="3" t="s">
        <v>60</v>
      </c>
      <c r="I8" s="11">
        <f>AVERAGE(T6:T55)</f>
        <v>1.2060000000000002</v>
      </c>
      <c r="J8" s="1"/>
      <c r="K8" s="1"/>
      <c r="L8" s="1"/>
      <c r="M8" s="1"/>
      <c r="N8" s="1"/>
      <c r="O8" s="1"/>
      <c r="P8" s="1"/>
      <c r="Q8" s="1"/>
      <c r="T8">
        <f t="shared" si="0"/>
        <v>1.9</v>
      </c>
    </row>
    <row r="9" spans="1:20" ht="18" customHeight="1" x14ac:dyDescent="0.35">
      <c r="A9" s="1"/>
      <c r="B9" s="7">
        <v>4</v>
      </c>
      <c r="C9" s="22">
        <v>0.15</v>
      </c>
      <c r="D9" s="1"/>
      <c r="E9" s="7">
        <v>29</v>
      </c>
      <c r="F9" s="22">
        <v>2.0299999999999998</v>
      </c>
      <c r="G9" s="1"/>
      <c r="H9" s="7" t="s">
        <v>61</v>
      </c>
      <c r="I9" s="12">
        <f>MEDIAN(T6:T55)</f>
        <v>0.79500000000000004</v>
      </c>
      <c r="J9" s="1"/>
      <c r="K9" s="1"/>
      <c r="L9" s="1"/>
      <c r="M9" s="1"/>
      <c r="N9" s="1"/>
      <c r="O9" s="1"/>
      <c r="P9" s="1"/>
      <c r="Q9" s="1"/>
      <c r="T9">
        <f t="shared" si="0"/>
        <v>0.15</v>
      </c>
    </row>
    <row r="10" spans="1:20" ht="18" customHeight="1" x14ac:dyDescent="0.35">
      <c r="A10" s="1"/>
      <c r="B10" s="3">
        <v>5</v>
      </c>
      <c r="C10" s="21">
        <v>0.02</v>
      </c>
      <c r="D10" s="1"/>
      <c r="E10" s="3">
        <v>30</v>
      </c>
      <c r="F10" s="21">
        <v>1</v>
      </c>
      <c r="G10" s="1"/>
      <c r="H10" s="3" t="s">
        <v>62</v>
      </c>
      <c r="I10" s="18">
        <f>MODE(T6:T55)</f>
        <v>0.53</v>
      </c>
      <c r="J10" s="1"/>
      <c r="K10" s="1"/>
      <c r="L10" s="1"/>
      <c r="M10" s="1"/>
      <c r="N10" s="1"/>
      <c r="O10" s="1"/>
      <c r="P10" s="1"/>
      <c r="Q10" s="1"/>
      <c r="T10">
        <f t="shared" si="0"/>
        <v>0.02</v>
      </c>
    </row>
    <row r="11" spans="1:20" ht="18" customHeight="1" x14ac:dyDescent="0.35">
      <c r="A11" s="1"/>
      <c r="B11" s="7">
        <v>6</v>
      </c>
      <c r="C11" s="22">
        <v>2.81</v>
      </c>
      <c r="D11" s="1"/>
      <c r="E11" s="7">
        <v>31</v>
      </c>
      <c r="F11" s="22">
        <v>0.39</v>
      </c>
      <c r="G11" s="1"/>
      <c r="H11" s="7" t="s">
        <v>63</v>
      </c>
      <c r="I11" s="23">
        <f>MIN(T6:T55)</f>
        <v>0.01</v>
      </c>
      <c r="J11" s="1"/>
      <c r="K11" s="1"/>
      <c r="L11" s="1"/>
      <c r="M11" s="1"/>
      <c r="N11" s="1"/>
      <c r="O11" s="1"/>
      <c r="P11" s="1"/>
      <c r="Q11" s="1"/>
      <c r="T11">
        <f t="shared" si="0"/>
        <v>2.81</v>
      </c>
    </row>
    <row r="12" spans="1:20" ht="18" customHeight="1" x14ac:dyDescent="0.35">
      <c r="A12" s="1"/>
      <c r="B12" s="3">
        <v>7</v>
      </c>
      <c r="C12" s="21">
        <v>1.5</v>
      </c>
      <c r="D12" s="1"/>
      <c r="E12" s="3">
        <v>32</v>
      </c>
      <c r="F12" s="21">
        <v>0.34</v>
      </c>
      <c r="G12" s="1"/>
      <c r="H12" s="3" t="s">
        <v>64</v>
      </c>
      <c r="I12" s="18">
        <f>MAX(T6:T55)</f>
        <v>5.5</v>
      </c>
      <c r="J12" s="1"/>
      <c r="K12" s="1"/>
      <c r="L12" s="1"/>
      <c r="M12" s="1"/>
      <c r="N12" s="1"/>
      <c r="O12" s="1"/>
      <c r="P12" s="1"/>
      <c r="Q12" s="1"/>
      <c r="T12">
        <f t="shared" si="0"/>
        <v>1.5</v>
      </c>
    </row>
    <row r="13" spans="1:20" ht="18" customHeight="1" x14ac:dyDescent="0.35">
      <c r="A13" s="1"/>
      <c r="B13" s="7">
        <v>8</v>
      </c>
      <c r="C13" s="22">
        <v>0.53</v>
      </c>
      <c r="D13" s="1"/>
      <c r="E13" s="7">
        <v>33</v>
      </c>
      <c r="F13" s="22">
        <v>0.01</v>
      </c>
      <c r="G13" s="1"/>
      <c r="H13" s="7" t="s">
        <v>65</v>
      </c>
      <c r="I13" s="23">
        <f>I12-I11</f>
        <v>5.49</v>
      </c>
      <c r="J13" s="1"/>
      <c r="K13" s="1"/>
      <c r="L13" s="1"/>
      <c r="M13" s="1"/>
      <c r="N13" s="1"/>
      <c r="O13" s="1"/>
      <c r="P13" s="1"/>
      <c r="Q13" s="1"/>
      <c r="T13">
        <f t="shared" si="0"/>
        <v>0.53</v>
      </c>
    </row>
    <row r="14" spans="1:20" ht="18" customHeight="1" x14ac:dyDescent="0.35">
      <c r="A14" s="1"/>
      <c r="B14" s="3">
        <v>9</v>
      </c>
      <c r="C14" s="21">
        <v>2.62</v>
      </c>
      <c r="D14" s="1"/>
      <c r="E14" s="3">
        <v>34</v>
      </c>
      <c r="F14" s="21">
        <v>0.1</v>
      </c>
      <c r="G14" s="1"/>
      <c r="H14" s="3" t="s">
        <v>66</v>
      </c>
      <c r="I14" s="11">
        <f>QUARTILE(T6:T55,1)</f>
        <v>0.35249999999999998</v>
      </c>
      <c r="J14" s="1"/>
      <c r="K14" s="1"/>
      <c r="L14" s="1"/>
      <c r="M14" s="1"/>
      <c r="N14" s="1"/>
      <c r="O14" s="1"/>
      <c r="P14" s="1"/>
      <c r="Q14" s="1"/>
      <c r="T14">
        <f t="shared" si="0"/>
        <v>2.62</v>
      </c>
    </row>
    <row r="15" spans="1:20" ht="18" customHeight="1" x14ac:dyDescent="0.35">
      <c r="A15" s="1"/>
      <c r="B15" s="7">
        <v>10</v>
      </c>
      <c r="C15" s="22">
        <v>2.67</v>
      </c>
      <c r="D15" s="1"/>
      <c r="E15" s="7">
        <v>35</v>
      </c>
      <c r="F15" s="22">
        <v>1.1000000000000001</v>
      </c>
      <c r="G15" s="1"/>
      <c r="H15" s="7" t="s">
        <v>67</v>
      </c>
      <c r="I15" s="12">
        <f>QUARTILE(T6:T55,3)</f>
        <v>1.7825</v>
      </c>
      <c r="J15" s="1"/>
      <c r="K15" s="1"/>
      <c r="L15" s="1"/>
      <c r="M15" s="1"/>
      <c r="N15" s="1"/>
      <c r="O15" s="1"/>
      <c r="P15" s="1"/>
      <c r="Q15" s="1"/>
      <c r="T15">
        <f t="shared" si="0"/>
        <v>2.67</v>
      </c>
    </row>
    <row r="16" spans="1:20" ht="18" customHeight="1" x14ac:dyDescent="0.35">
      <c r="A16" s="1"/>
      <c r="B16" s="3">
        <v>11</v>
      </c>
      <c r="C16" s="21">
        <v>3.53</v>
      </c>
      <c r="D16" s="1"/>
      <c r="E16" s="3">
        <v>36</v>
      </c>
      <c r="F16" s="21">
        <v>0.24</v>
      </c>
      <c r="G16" s="1"/>
      <c r="H16" s="3" t="s">
        <v>68</v>
      </c>
      <c r="I16" s="11">
        <f>I15-I14</f>
        <v>1.43</v>
      </c>
      <c r="J16" s="1"/>
      <c r="K16" s="1"/>
      <c r="L16" s="1"/>
      <c r="M16" s="1"/>
      <c r="N16" s="1"/>
      <c r="O16" s="1"/>
      <c r="P16" s="1"/>
      <c r="Q16" s="1"/>
      <c r="T16">
        <f t="shared" si="0"/>
        <v>3.53</v>
      </c>
    </row>
    <row r="17" spans="1:20" ht="18" customHeight="1" x14ac:dyDescent="0.35">
      <c r="A17" s="1"/>
      <c r="B17" s="7">
        <v>12</v>
      </c>
      <c r="C17" s="22">
        <v>0.53</v>
      </c>
      <c r="D17" s="1"/>
      <c r="E17" s="7">
        <v>37</v>
      </c>
      <c r="F17" s="22">
        <v>0.26</v>
      </c>
      <c r="G17" s="1"/>
      <c r="H17" s="7" t="s">
        <v>32</v>
      </c>
      <c r="I17" s="12">
        <f>VAR(T6:T55)</f>
        <v>1.605575510204081</v>
      </c>
      <c r="J17" s="1"/>
      <c r="K17" s="1"/>
      <c r="L17" s="1"/>
      <c r="M17" s="1"/>
      <c r="N17" s="1"/>
      <c r="O17" s="1"/>
      <c r="P17" s="1"/>
      <c r="Q17" s="1"/>
      <c r="T17">
        <f t="shared" si="0"/>
        <v>0.53</v>
      </c>
    </row>
    <row r="18" spans="1:20" ht="18" customHeight="1" x14ac:dyDescent="0.35">
      <c r="A18" s="1"/>
      <c r="B18" s="3">
        <v>13</v>
      </c>
      <c r="C18" s="21">
        <v>1.8</v>
      </c>
      <c r="D18" s="1"/>
      <c r="E18" s="3">
        <v>38</v>
      </c>
      <c r="F18" s="21">
        <v>0.45</v>
      </c>
      <c r="G18" s="1"/>
      <c r="H18" s="3" t="s">
        <v>69</v>
      </c>
      <c r="I18" s="11">
        <f>STDEV(T6:T55)</f>
        <v>1.2671130613343393</v>
      </c>
      <c r="J18" s="1"/>
      <c r="K18" s="1"/>
      <c r="L18" s="1"/>
      <c r="M18" s="1"/>
      <c r="N18" s="1"/>
      <c r="O18" s="1"/>
      <c r="P18" s="1"/>
      <c r="Q18" s="1"/>
      <c r="T18">
        <f t="shared" si="0"/>
        <v>1.8</v>
      </c>
    </row>
    <row r="19" spans="1:20" ht="18" customHeight="1" x14ac:dyDescent="0.35">
      <c r="A19" s="1"/>
      <c r="B19" s="7">
        <v>14</v>
      </c>
      <c r="C19" s="22">
        <v>0.79</v>
      </c>
      <c r="D19" s="1"/>
      <c r="E19" s="7">
        <v>39</v>
      </c>
      <c r="F19" s="22">
        <v>0.17</v>
      </c>
      <c r="G19" s="1"/>
      <c r="H19" s="7" t="s">
        <v>34</v>
      </c>
      <c r="I19" s="10">
        <f>I18/I8</f>
        <v>1.0506741802108948</v>
      </c>
      <c r="J19" s="1"/>
      <c r="K19" s="1"/>
      <c r="L19" s="1"/>
      <c r="M19" s="1"/>
      <c r="N19" s="1"/>
      <c r="O19" s="1"/>
      <c r="P19" s="1"/>
      <c r="Q19" s="1"/>
      <c r="T19">
        <f t="shared" si="0"/>
        <v>0.79</v>
      </c>
    </row>
    <row r="20" spans="1:20" ht="18" customHeight="1" x14ac:dyDescent="0.35">
      <c r="A20" s="1"/>
      <c r="B20" s="3">
        <v>15</v>
      </c>
      <c r="C20" s="21">
        <v>0.21</v>
      </c>
      <c r="D20" s="1"/>
      <c r="E20" s="3">
        <v>40</v>
      </c>
      <c r="F20" s="21">
        <v>4.29</v>
      </c>
      <c r="G20" s="1"/>
      <c r="H20" s="3" t="s">
        <v>35</v>
      </c>
      <c r="I20" s="11">
        <f>SKEW(T6:T55)</f>
        <v>1.7271569803723832</v>
      </c>
      <c r="J20" s="1"/>
      <c r="K20" s="1"/>
      <c r="L20" s="1"/>
      <c r="M20" s="1"/>
      <c r="N20" s="1"/>
      <c r="O20" s="1"/>
      <c r="P20" s="1"/>
      <c r="Q20" s="1"/>
      <c r="T20">
        <f t="shared" si="0"/>
        <v>0.21</v>
      </c>
    </row>
    <row r="21" spans="1:20" ht="18" customHeight="1" x14ac:dyDescent="0.35">
      <c r="A21" s="1"/>
      <c r="B21" s="7">
        <v>16</v>
      </c>
      <c r="C21" s="22">
        <v>0.8</v>
      </c>
      <c r="D21" s="1"/>
      <c r="E21" s="7">
        <v>41</v>
      </c>
      <c r="F21" s="22">
        <v>0.8</v>
      </c>
      <c r="G21" s="1"/>
      <c r="H21" s="7" t="s">
        <v>36</v>
      </c>
      <c r="I21" s="12">
        <f>KURT(T6:T55)</f>
        <v>2.9370388111469561</v>
      </c>
      <c r="J21" s="1"/>
      <c r="K21" s="1"/>
      <c r="L21" s="1"/>
      <c r="M21" s="1"/>
      <c r="N21" s="1"/>
      <c r="O21" s="1"/>
      <c r="P21" s="1"/>
      <c r="Q21" s="1"/>
      <c r="T21">
        <f t="shared" si="0"/>
        <v>0.8</v>
      </c>
    </row>
    <row r="22" spans="1:20" ht="18" customHeight="1" x14ac:dyDescent="0.35">
      <c r="A22" s="1"/>
      <c r="B22" s="3">
        <v>17</v>
      </c>
      <c r="C22" s="21">
        <v>0.26</v>
      </c>
      <c r="D22" s="1"/>
      <c r="E22" s="3">
        <v>42</v>
      </c>
      <c r="F22" s="21">
        <v>5.5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T22">
        <f t="shared" si="0"/>
        <v>0.26</v>
      </c>
    </row>
    <row r="23" spans="1:20" ht="29" customHeight="1" x14ac:dyDescent="0.35">
      <c r="A23" s="1"/>
      <c r="B23" s="7">
        <v>18</v>
      </c>
      <c r="C23" s="22">
        <v>0.63</v>
      </c>
      <c r="D23" s="1"/>
      <c r="E23" s="7">
        <v>43</v>
      </c>
      <c r="F23" s="22">
        <v>4.91</v>
      </c>
      <c r="G23" s="1"/>
      <c r="H23" s="2" t="s">
        <v>70</v>
      </c>
      <c r="I23" s="2" t="s">
        <v>7</v>
      </c>
      <c r="J23" s="1"/>
      <c r="K23" s="1"/>
      <c r="L23" s="1"/>
      <c r="M23" s="1"/>
      <c r="N23" s="1"/>
      <c r="O23" s="1"/>
      <c r="P23" s="1"/>
      <c r="Q23" s="1"/>
      <c r="T23">
        <f t="shared" si="0"/>
        <v>0.63</v>
      </c>
    </row>
    <row r="24" spans="1:20" ht="18" customHeight="1" x14ac:dyDescent="0.35">
      <c r="A24" s="1"/>
      <c r="B24" s="3">
        <v>19</v>
      </c>
      <c r="C24" s="21">
        <v>0.36</v>
      </c>
      <c r="D24" s="1"/>
      <c r="E24" s="3">
        <v>44</v>
      </c>
      <c r="F24" s="21">
        <v>0.35</v>
      </c>
      <c r="G24" s="1"/>
      <c r="H24" s="3" t="s">
        <v>71</v>
      </c>
      <c r="I24" s="3">
        <f>COUNTIFS($T$6:$T$55,"&gt;="&amp;0,$T$6:$T$55,"&lt;"&amp;1)</f>
        <v>29</v>
      </c>
      <c r="J24" s="1"/>
      <c r="K24" s="1"/>
      <c r="L24" s="1"/>
      <c r="M24" s="1"/>
      <c r="N24" s="1"/>
      <c r="O24" s="1"/>
      <c r="P24" s="1"/>
      <c r="Q24" s="1"/>
      <c r="T24">
        <f t="shared" si="0"/>
        <v>0.36</v>
      </c>
    </row>
    <row r="25" spans="1:20" ht="18" customHeight="1" x14ac:dyDescent="0.35">
      <c r="A25" s="1"/>
      <c r="B25" s="7">
        <v>20</v>
      </c>
      <c r="C25" s="22">
        <v>2.0299999999999998</v>
      </c>
      <c r="D25" s="1"/>
      <c r="E25" s="7">
        <v>45</v>
      </c>
      <c r="F25" s="22">
        <v>0.36</v>
      </c>
      <c r="G25" s="1"/>
      <c r="H25" s="7" t="s">
        <v>72</v>
      </c>
      <c r="I25" s="7">
        <f>COUNTIFS($T$6:$T$55,"&gt;="&amp;1,$T$6:$T$55,"&lt;"&amp;2)</f>
        <v>11</v>
      </c>
      <c r="J25" s="1"/>
      <c r="K25" s="1"/>
      <c r="L25" s="1"/>
      <c r="M25" s="1"/>
      <c r="N25" s="1"/>
      <c r="O25" s="1"/>
      <c r="P25" s="1"/>
      <c r="Q25" s="1"/>
      <c r="T25">
        <f t="shared" si="0"/>
        <v>2.0299999999999998</v>
      </c>
    </row>
    <row r="26" spans="1:20" ht="18" customHeight="1" x14ac:dyDescent="0.35">
      <c r="A26" s="1"/>
      <c r="B26" s="3">
        <v>21</v>
      </c>
      <c r="C26" s="21">
        <v>1.42</v>
      </c>
      <c r="D26" s="1"/>
      <c r="E26" s="3">
        <v>46</v>
      </c>
      <c r="F26" s="21">
        <v>0.9</v>
      </c>
      <c r="G26" s="1"/>
      <c r="H26" s="3" t="s">
        <v>73</v>
      </c>
      <c r="I26" s="3">
        <f>COUNTIFS($T$6:$T$55,"&gt;="&amp;2,$T$6:$T$55,"&lt;"&amp;3)</f>
        <v>6</v>
      </c>
      <c r="J26" s="1"/>
      <c r="K26" s="1"/>
      <c r="L26" s="1"/>
      <c r="M26" s="1"/>
      <c r="N26" s="1"/>
      <c r="O26" s="1"/>
      <c r="P26" s="1"/>
      <c r="Q26" s="1"/>
      <c r="T26">
        <f t="shared" si="0"/>
        <v>1.42</v>
      </c>
    </row>
    <row r="27" spans="1:20" ht="18" customHeight="1" x14ac:dyDescent="0.35">
      <c r="A27" s="1"/>
      <c r="B27" s="7">
        <v>22</v>
      </c>
      <c r="C27" s="22">
        <v>1.28</v>
      </c>
      <c r="D27" s="1"/>
      <c r="E27" s="7">
        <v>47</v>
      </c>
      <c r="F27" s="22">
        <v>1.03</v>
      </c>
      <c r="G27" s="1"/>
      <c r="H27" s="7" t="s">
        <v>74</v>
      </c>
      <c r="I27" s="7">
        <f>COUNTIFS($T$6:$T$55,"&gt;="&amp;3,$T$6:$T$55,"&lt;"&amp;4)</f>
        <v>1</v>
      </c>
      <c r="J27" s="1"/>
      <c r="K27" s="1"/>
      <c r="L27" s="1"/>
      <c r="M27" s="1"/>
      <c r="N27" s="1"/>
      <c r="O27" s="1"/>
      <c r="P27" s="1"/>
      <c r="Q27" s="1"/>
      <c r="T27">
        <f t="shared" si="0"/>
        <v>1.28</v>
      </c>
    </row>
    <row r="28" spans="1:20" ht="18" customHeight="1" x14ac:dyDescent="0.35">
      <c r="A28" s="1"/>
      <c r="B28" s="3">
        <v>23</v>
      </c>
      <c r="C28" s="21">
        <v>0.82</v>
      </c>
      <c r="D28" s="1"/>
      <c r="E28" s="3">
        <v>48</v>
      </c>
      <c r="F28" s="21">
        <v>1.73</v>
      </c>
      <c r="G28" s="1"/>
      <c r="H28" s="3" t="s">
        <v>75</v>
      </c>
      <c r="I28" s="3">
        <f>COUNTIFS($T$6:$T$55,"&gt;="&amp;4,$T$6:$T$55,"&lt;"&amp;5)</f>
        <v>2</v>
      </c>
      <c r="J28" s="1"/>
      <c r="K28" s="1"/>
      <c r="L28" s="1"/>
      <c r="M28" s="1"/>
      <c r="N28" s="1"/>
      <c r="O28" s="1"/>
      <c r="P28" s="1"/>
      <c r="Q28" s="1"/>
      <c r="T28">
        <f t="shared" si="0"/>
        <v>0.82</v>
      </c>
    </row>
    <row r="29" spans="1:20" ht="18" customHeight="1" x14ac:dyDescent="0.35">
      <c r="A29" s="1"/>
      <c r="B29" s="7">
        <v>24</v>
      </c>
      <c r="C29" s="22">
        <v>2.16</v>
      </c>
      <c r="D29" s="1"/>
      <c r="E29" s="7">
        <v>49</v>
      </c>
      <c r="F29" s="22">
        <v>0.38</v>
      </c>
      <c r="G29" s="1"/>
      <c r="H29" s="7" t="s">
        <v>76</v>
      </c>
      <c r="I29" s="7">
        <f>COUNTIF($T$6:$T$55,"&gt;=5")</f>
        <v>1</v>
      </c>
      <c r="J29" s="1"/>
      <c r="K29" s="1"/>
      <c r="L29" s="1"/>
      <c r="M29" s="1"/>
      <c r="N29" s="1"/>
      <c r="O29" s="1"/>
      <c r="P29" s="1"/>
      <c r="Q29" s="1"/>
      <c r="T29">
        <f t="shared" si="0"/>
        <v>2.16</v>
      </c>
    </row>
    <row r="30" spans="1:20" ht="18" customHeight="1" x14ac:dyDescent="0.35">
      <c r="A30" s="1"/>
      <c r="B30" s="3">
        <v>25</v>
      </c>
      <c r="C30" s="21">
        <v>0.05</v>
      </c>
      <c r="D30" s="1"/>
      <c r="E30" s="3">
        <v>50</v>
      </c>
      <c r="F30" s="21">
        <v>0.48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T30">
        <f t="shared" si="0"/>
        <v>0.05</v>
      </c>
    </row>
    <row r="31" spans="1:20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T31">
        <f t="shared" ref="T31:T55" si="1">F6</f>
        <v>0.04</v>
      </c>
    </row>
    <row r="32" spans="1:20" ht="26" customHeight="1" x14ac:dyDescent="0.35">
      <c r="A32" s="1"/>
      <c r="B32" s="31" t="s">
        <v>77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T32">
        <f t="shared" si="1"/>
        <v>1.49</v>
      </c>
    </row>
    <row r="33" spans="1:20" ht="26" customHeight="1" x14ac:dyDescent="0.35">
      <c r="A33" s="1"/>
      <c r="B33" s="31" t="s">
        <v>78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T33">
        <f t="shared" si="1"/>
        <v>0.66</v>
      </c>
    </row>
    <row r="34" spans="1:20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T34">
        <f t="shared" si="1"/>
        <v>2.0299999999999998</v>
      </c>
    </row>
    <row r="35" spans="1:20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T35">
        <f t="shared" si="1"/>
        <v>1</v>
      </c>
    </row>
    <row r="36" spans="1:20" x14ac:dyDescent="0.35">
      <c r="T36">
        <f t="shared" si="1"/>
        <v>0.39</v>
      </c>
    </row>
    <row r="37" spans="1:20" x14ac:dyDescent="0.35">
      <c r="T37">
        <f t="shared" si="1"/>
        <v>0.34</v>
      </c>
    </row>
    <row r="38" spans="1:20" x14ac:dyDescent="0.35">
      <c r="T38">
        <f t="shared" si="1"/>
        <v>0.01</v>
      </c>
    </row>
    <row r="39" spans="1:20" x14ac:dyDescent="0.35">
      <c r="T39">
        <f t="shared" si="1"/>
        <v>0.1</v>
      </c>
    </row>
    <row r="40" spans="1:20" x14ac:dyDescent="0.35">
      <c r="T40">
        <f t="shared" si="1"/>
        <v>1.1000000000000001</v>
      </c>
    </row>
    <row r="41" spans="1:20" x14ac:dyDescent="0.35">
      <c r="T41">
        <f t="shared" si="1"/>
        <v>0.24</v>
      </c>
    </row>
    <row r="42" spans="1:20" x14ac:dyDescent="0.35">
      <c r="T42">
        <f t="shared" si="1"/>
        <v>0.26</v>
      </c>
    </row>
    <row r="43" spans="1:20" x14ac:dyDescent="0.35">
      <c r="T43">
        <f t="shared" si="1"/>
        <v>0.45</v>
      </c>
    </row>
    <row r="44" spans="1:20" x14ac:dyDescent="0.35">
      <c r="T44">
        <f t="shared" si="1"/>
        <v>0.17</v>
      </c>
    </row>
    <row r="45" spans="1:20" x14ac:dyDescent="0.35">
      <c r="T45">
        <f t="shared" si="1"/>
        <v>4.29</v>
      </c>
    </row>
    <row r="46" spans="1:20" x14ac:dyDescent="0.35">
      <c r="T46">
        <f t="shared" si="1"/>
        <v>0.8</v>
      </c>
    </row>
    <row r="47" spans="1:20" x14ac:dyDescent="0.35">
      <c r="T47">
        <f t="shared" si="1"/>
        <v>5.5</v>
      </c>
    </row>
    <row r="48" spans="1:20" x14ac:dyDescent="0.35">
      <c r="T48">
        <f t="shared" si="1"/>
        <v>4.91</v>
      </c>
    </row>
    <row r="49" spans="20:20" x14ac:dyDescent="0.35">
      <c r="T49">
        <f t="shared" si="1"/>
        <v>0.35</v>
      </c>
    </row>
    <row r="50" spans="20:20" x14ac:dyDescent="0.35">
      <c r="T50">
        <f t="shared" si="1"/>
        <v>0.36</v>
      </c>
    </row>
    <row r="51" spans="20:20" x14ac:dyDescent="0.35">
      <c r="T51">
        <f t="shared" si="1"/>
        <v>0.9</v>
      </c>
    </row>
    <row r="52" spans="20:20" x14ac:dyDescent="0.35">
      <c r="T52">
        <f t="shared" si="1"/>
        <v>1.03</v>
      </c>
    </row>
    <row r="53" spans="20:20" x14ac:dyDescent="0.35">
      <c r="T53">
        <f t="shared" si="1"/>
        <v>1.73</v>
      </c>
    </row>
    <row r="54" spans="20:20" x14ac:dyDescent="0.35">
      <c r="T54">
        <f t="shared" si="1"/>
        <v>0.38</v>
      </c>
    </row>
    <row r="55" spans="20:20" x14ac:dyDescent="0.35">
      <c r="T55">
        <f t="shared" si="1"/>
        <v>0.48</v>
      </c>
    </row>
  </sheetData>
  <mergeCells count="4">
    <mergeCell ref="B2:Q2"/>
    <mergeCell ref="B32:Q32"/>
    <mergeCell ref="B33:Q33"/>
    <mergeCell ref="B1:Q1"/>
  </mergeCells>
  <printOptions horizontalCentered="1"/>
  <pageMargins left="0.25" right="0.25" top="0.35" bottom="0.35" header="0.5" footer="0.5"/>
  <pageSetup paperSize="9" orientation="landscape"/>
  <headerFooter>
    <oddFooter>&amp;C&amp;8 Tugas 6 | Input Analysis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6"/>
  <sheetViews>
    <sheetView showGridLines="0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.81640625" customWidth="1"/>
    <col min="2" max="2" width="9" customWidth="1"/>
    <col min="3" max="4" width="17" customWidth="1"/>
    <col min="5" max="6" width="14" customWidth="1"/>
    <col min="7" max="7" width="16" customWidth="1"/>
    <col min="8" max="8" width="3" customWidth="1"/>
    <col min="9" max="9" width="21" customWidth="1"/>
    <col min="10" max="10" width="20" customWidth="1"/>
    <col min="11" max="11" width="11" customWidth="1"/>
    <col min="12" max="12" width="9" customWidth="1"/>
  </cols>
  <sheetData>
    <row r="1" spans="1:12" ht="29" customHeight="1" x14ac:dyDescent="0.35">
      <c r="B1" s="28" t="s">
        <v>79</v>
      </c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9" customHeight="1" x14ac:dyDescent="0.35">
      <c r="B2" s="30" t="s">
        <v>80</v>
      </c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9" customHeight="1" x14ac:dyDescent="0.35">
      <c r="A6" s="1"/>
      <c r="B6" s="2" t="s">
        <v>81</v>
      </c>
      <c r="C6" s="2" t="s">
        <v>82</v>
      </c>
      <c r="D6" s="2" t="s">
        <v>83</v>
      </c>
      <c r="E6" s="2" t="s">
        <v>84</v>
      </c>
      <c r="F6" s="2" t="s">
        <v>85</v>
      </c>
      <c r="G6" s="2" t="s">
        <v>86</v>
      </c>
      <c r="H6" s="1"/>
      <c r="I6" s="2" t="s">
        <v>87</v>
      </c>
      <c r="J6" s="2" t="s">
        <v>5</v>
      </c>
      <c r="K6" s="1"/>
      <c r="L6" s="1"/>
    </row>
    <row r="7" spans="1:12" ht="18" customHeight="1" x14ac:dyDescent="0.35">
      <c r="A7" s="1"/>
      <c r="B7" s="7">
        <v>1</v>
      </c>
      <c r="C7" s="15">
        <v>0</v>
      </c>
      <c r="D7" s="15">
        <f>-$J$9*LN(1-B7/$J$7)</f>
        <v>0.21987979749350928</v>
      </c>
      <c r="E7" s="7">
        <f>COUNTIFS('2 Time Data'!$T$6:$T$55,"&gt;="&amp;C7,'2 Time Data'!$T$6:$T$55,"&lt;"&amp;D7)</f>
        <v>8</v>
      </c>
      <c r="F7" s="15">
        <f t="shared" ref="F7:F12" si="0">$J$8/$J$7</f>
        <v>8.3333333333333339</v>
      </c>
      <c r="G7" s="15">
        <f t="shared" ref="G7:G12" si="1">(E7-F7)^2/F7</f>
        <v>1.3333333333333379E-2</v>
      </c>
      <c r="H7" s="1"/>
      <c r="I7" s="7" t="s">
        <v>88</v>
      </c>
      <c r="J7" s="16">
        <v>6</v>
      </c>
      <c r="K7" s="1"/>
      <c r="L7" s="1"/>
    </row>
    <row r="8" spans="1:12" ht="18" customHeight="1" x14ac:dyDescent="0.35">
      <c r="A8" s="1"/>
      <c r="B8" s="3">
        <v>2</v>
      </c>
      <c r="C8" s="17">
        <f>D7</f>
        <v>0.21987979749350928</v>
      </c>
      <c r="D8" s="17">
        <f>-$J$9*LN(1-B8/$J$7)</f>
        <v>0.48899092037844621</v>
      </c>
      <c r="E8" s="3">
        <f>COUNTIFS('2 Time Data'!$T$6:$T$55,"&gt;="&amp;C8,'2 Time Data'!$T$6:$T$55,"&lt;"&amp;D8)</f>
        <v>11</v>
      </c>
      <c r="F8" s="17">
        <f t="shared" si="0"/>
        <v>8.3333333333333339</v>
      </c>
      <c r="G8" s="17">
        <f t="shared" si="1"/>
        <v>0.85333333333333294</v>
      </c>
      <c r="H8" s="1"/>
      <c r="I8" s="3" t="s">
        <v>89</v>
      </c>
      <c r="J8" s="5">
        <f>'2 Time Data'!I6</f>
        <v>50</v>
      </c>
      <c r="K8" s="1"/>
      <c r="L8" s="1"/>
    </row>
    <row r="9" spans="1:12" ht="18" customHeight="1" x14ac:dyDescent="0.35">
      <c r="A9" s="1"/>
      <c r="B9" s="7">
        <v>3</v>
      </c>
      <c r="C9" s="15">
        <f>D8</f>
        <v>0.48899092037844621</v>
      </c>
      <c r="D9" s="15">
        <f>-$J$9*LN(1-B9/$J$7)</f>
        <v>0.83593549975529413</v>
      </c>
      <c r="E9" s="7">
        <f>COUNTIFS('2 Time Data'!$T$6:$T$55,"&gt;="&amp;C9,'2 Time Data'!$T$6:$T$55,"&lt;"&amp;D9)</f>
        <v>9</v>
      </c>
      <c r="F9" s="15">
        <f t="shared" si="0"/>
        <v>8.3333333333333339</v>
      </c>
      <c r="G9" s="15">
        <f t="shared" si="1"/>
        <v>5.3333333333333233E-2</v>
      </c>
      <c r="H9" s="1"/>
      <c r="I9" s="7" t="s">
        <v>90</v>
      </c>
      <c r="J9" s="15">
        <f>'2 Time Data'!I8</f>
        <v>1.2060000000000002</v>
      </c>
      <c r="K9" s="1"/>
      <c r="L9" s="1"/>
    </row>
    <row r="10" spans="1:12" ht="18" customHeight="1" x14ac:dyDescent="0.35">
      <c r="A10" s="1"/>
      <c r="B10" s="3">
        <v>4</v>
      </c>
      <c r="C10" s="17">
        <f>D9</f>
        <v>0.83593549975529413</v>
      </c>
      <c r="D10" s="17">
        <f>-$J$9*LN(1-B10/$J$7)</f>
        <v>1.3249264201337403</v>
      </c>
      <c r="E10" s="3">
        <f>COUNTIFS('2 Time Data'!$T$6:$T$55,"&gt;="&amp;C10,'2 Time Data'!$T$6:$T$55,"&lt;"&amp;D10)</f>
        <v>5</v>
      </c>
      <c r="F10" s="17">
        <f t="shared" si="0"/>
        <v>8.3333333333333339</v>
      </c>
      <c r="G10" s="17">
        <f t="shared" si="1"/>
        <v>1.3333333333333337</v>
      </c>
      <c r="H10" s="1"/>
      <c r="I10" s="3" t="s">
        <v>91</v>
      </c>
      <c r="J10" s="17">
        <f>1/J9</f>
        <v>0.82918739635157535</v>
      </c>
      <c r="K10" s="1"/>
      <c r="L10" s="1"/>
    </row>
    <row r="11" spans="1:12" ht="18" customHeight="1" x14ac:dyDescent="0.35">
      <c r="A11" s="1"/>
      <c r="B11" s="7">
        <v>5</v>
      </c>
      <c r="C11" s="15">
        <f>D10</f>
        <v>1.3249264201337403</v>
      </c>
      <c r="D11" s="15">
        <f>-$J$9*LN(1-B11/$J$7)</f>
        <v>2.1608619198890349</v>
      </c>
      <c r="E11" s="7">
        <f>COUNTIFS('2 Time Data'!$T$6:$T$55,"&gt;="&amp;C11,'2 Time Data'!$T$6:$T$55,"&lt;"&amp;D11)</f>
        <v>10</v>
      </c>
      <c r="F11" s="15">
        <f t="shared" si="0"/>
        <v>8.3333333333333339</v>
      </c>
      <c r="G11" s="15">
        <f t="shared" si="1"/>
        <v>0.33333333333333309</v>
      </c>
      <c r="H11" s="1"/>
      <c r="I11" s="7" t="s">
        <v>92</v>
      </c>
      <c r="J11" s="16">
        <f>J7-1-1</f>
        <v>4</v>
      </c>
      <c r="K11" s="1"/>
      <c r="L11" s="1"/>
    </row>
    <row r="12" spans="1:12" ht="18" customHeight="1" x14ac:dyDescent="0.35">
      <c r="A12" s="1"/>
      <c r="B12" s="3">
        <v>6</v>
      </c>
      <c r="C12" s="17">
        <f>D11</f>
        <v>2.1608619198890349</v>
      </c>
      <c r="D12" s="24" t="s">
        <v>93</v>
      </c>
      <c r="E12" s="3">
        <f>COUNTIF('2 Time Data'!$T$6:$T$55,"&gt;="&amp;C12)</f>
        <v>7</v>
      </c>
      <c r="F12" s="17">
        <f t="shared" si="0"/>
        <v>8.3333333333333339</v>
      </c>
      <c r="G12" s="17">
        <f t="shared" si="1"/>
        <v>0.21333333333333351</v>
      </c>
      <c r="H12" s="1"/>
      <c r="I12" s="3" t="s">
        <v>94</v>
      </c>
      <c r="J12" s="17">
        <f>G13</f>
        <v>2.8</v>
      </c>
      <c r="K12" s="1"/>
      <c r="L12" s="1"/>
    </row>
    <row r="13" spans="1:12" ht="18" customHeight="1" x14ac:dyDescent="0.35">
      <c r="A13" s="1"/>
      <c r="B13" s="25" t="s">
        <v>31</v>
      </c>
      <c r="C13" s="1"/>
      <c r="D13" s="1"/>
      <c r="E13" s="25">
        <f>SUM(E7:E12)</f>
        <v>50</v>
      </c>
      <c r="F13" s="26">
        <f>SUM(F7:F12)</f>
        <v>50.000000000000007</v>
      </c>
      <c r="G13" s="27">
        <f>SUM(G7:G12)</f>
        <v>2.8</v>
      </c>
      <c r="H13" s="1"/>
      <c r="I13" s="7" t="s">
        <v>95</v>
      </c>
      <c r="J13" s="15">
        <f>CHIINV(0.05,J11)</f>
        <v>9.4877290367811575</v>
      </c>
      <c r="K13" s="1"/>
      <c r="L13" s="1"/>
    </row>
    <row r="14" spans="1:12" ht="18" customHeight="1" x14ac:dyDescent="0.35">
      <c r="A14" s="1"/>
      <c r="B14" s="1"/>
      <c r="C14" s="1"/>
      <c r="D14" s="1"/>
      <c r="E14" s="1"/>
      <c r="F14" s="1"/>
      <c r="G14" s="1"/>
      <c r="H14" s="1"/>
      <c r="I14" s="3" t="s">
        <v>96</v>
      </c>
      <c r="J14" s="17">
        <f>CHIDIST(J12,J11)</f>
        <v>0.59183271345985544</v>
      </c>
      <c r="K14" s="1"/>
      <c r="L14" s="1"/>
    </row>
    <row r="15" spans="1:12" ht="18" customHeight="1" x14ac:dyDescent="0.35">
      <c r="A15" s="1"/>
      <c r="B15" s="1"/>
      <c r="C15" s="1"/>
      <c r="D15" s="1"/>
      <c r="E15" s="1"/>
      <c r="F15" s="1"/>
      <c r="G15" s="1"/>
      <c r="H15" s="1"/>
      <c r="I15" s="7" t="s">
        <v>51</v>
      </c>
      <c r="J15" s="7" t="str">
        <f>IF(J12&gt;J13,"Reject H0","Do not reject H0")</f>
        <v>Do not reject H0</v>
      </c>
      <c r="K15" s="1"/>
      <c r="L15" s="1"/>
    </row>
    <row r="16" spans="1:1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31" t="s">
        <v>97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</row>
    <row r="18" spans="1:12" x14ac:dyDescent="0.35">
      <c r="A18" s="1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</row>
    <row r="19" spans="1:12" x14ac:dyDescent="0.35">
      <c r="A19" s="1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</row>
    <row r="20" spans="1:12" x14ac:dyDescent="0.35">
      <c r="A20" s="1"/>
      <c r="B20" s="31" t="s">
        <v>98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</row>
    <row r="21" spans="1:12" x14ac:dyDescent="0.35">
      <c r="A21" s="1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</row>
    <row r="22" spans="1:12" x14ac:dyDescent="0.35">
      <c r="A22" s="1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7" customHeight="1" x14ac:dyDescent="0.35">
      <c r="A25" s="1"/>
      <c r="B25" s="31" t="s">
        <v>99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</sheetData>
  <mergeCells count="5">
    <mergeCell ref="B17:L19"/>
    <mergeCell ref="B20:L22"/>
    <mergeCell ref="B25:L25"/>
    <mergeCell ref="B2:L2"/>
    <mergeCell ref="B1:L1"/>
  </mergeCells>
  <printOptions horizontalCentered="1"/>
  <pageMargins left="0.25" right="0.25" top="0.35" bottom="0.35" header="0.5" footer="0.5"/>
  <pageSetup paperSize="9" orientation="landscape"/>
  <headerFooter>
    <oddFooter>&amp;C&amp;8 Tugas 6 | Input Analysis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1 Accident Data</vt:lpstr>
      <vt:lpstr>1 KS Test</vt:lpstr>
      <vt:lpstr>2 Time Data</vt:lpstr>
      <vt:lpstr>2 Chi Square</vt:lpstr>
      <vt:lpstr>'1 Accident Data'!Print_Area</vt:lpstr>
      <vt:lpstr>'1 KS Test'!Print_Area</vt:lpstr>
      <vt:lpstr>'2 Chi Square'!Print_Area</vt:lpstr>
      <vt:lpstr>'2 Time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Maulana Ikhsan</cp:lastModifiedBy>
  <dcterms:created xsi:type="dcterms:W3CDTF">2026-10-14T09:47:06Z</dcterms:created>
  <dcterms:modified xsi:type="dcterms:W3CDTF">2026-10-14T09:47:16Z</dcterms:modified>
</cp:coreProperties>
</file>